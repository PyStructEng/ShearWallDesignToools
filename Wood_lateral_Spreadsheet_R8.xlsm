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:\01_Projects\Wood Lateral Tool\"/>
    </mc:Choice>
  </mc:AlternateContent>
  <xr:revisionPtr revIDLastSave="0" documentId="13_ncr:1_{10739315-FE1A-446A-B871-9FAF88162FA8}" xr6:coauthVersionLast="47" xr6:coauthVersionMax="47" xr10:uidLastSave="{00000000-0000-0000-0000-000000000000}"/>
  <bookViews>
    <workbookView xWindow="-98" yWindow="-98" windowWidth="25396" windowHeight="15346" tabRatio="835" activeTab="4" xr2:uid="{00000000-000D-0000-FFFF-FFFF00000000}"/>
  </bookViews>
  <sheets>
    <sheet name="Master_Template" sheetId="396" r:id="rId1"/>
    <sheet name="Rigid_Template" sheetId="397" r:id="rId2"/>
    <sheet name="Template_n" sheetId="486" r:id="rId3"/>
    <sheet name="NS1" sheetId="490" r:id="rId4"/>
    <sheet name="Design_Summary" sheetId="487" r:id="rId5"/>
    <sheet name="Seismic_data" sheetId="489" r:id="rId6"/>
  </sheets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9" i="490" l="1"/>
  <c r="I98" i="490"/>
  <c r="I97" i="490"/>
  <c r="I96" i="490"/>
  <c r="I95" i="490"/>
  <c r="I94" i="490"/>
  <c r="Y87" i="490"/>
  <c r="Z87" i="490" s="1"/>
  <c r="AA87" i="490" s="1"/>
  <c r="W87" i="490"/>
  <c r="AA86" i="490"/>
  <c r="Z86" i="490"/>
  <c r="Y86" i="490"/>
  <c r="W86" i="490"/>
  <c r="AA85" i="490"/>
  <c r="Z85" i="490"/>
  <c r="Y85" i="490"/>
  <c r="W85" i="490"/>
  <c r="Z84" i="490"/>
  <c r="AA84" i="490" s="1"/>
  <c r="Y84" i="490"/>
  <c r="W84" i="490"/>
  <c r="AA83" i="490"/>
  <c r="Z83" i="490"/>
  <c r="Y83" i="490"/>
  <c r="W83" i="490"/>
  <c r="AA82" i="490"/>
  <c r="Z82" i="490"/>
  <c r="Y82" i="490"/>
  <c r="W82" i="490"/>
  <c r="V55" i="490"/>
  <c r="Q55" i="490"/>
  <c r="J55" i="490"/>
  <c r="K55" i="490" s="1"/>
  <c r="V54" i="490"/>
  <c r="Q54" i="490"/>
  <c r="K54" i="490"/>
  <c r="J54" i="490"/>
  <c r="V53" i="490"/>
  <c r="Q53" i="490"/>
  <c r="K53" i="490"/>
  <c r="J53" i="490"/>
  <c r="V52" i="490"/>
  <c r="Q52" i="490"/>
  <c r="K52" i="490"/>
  <c r="J52" i="490"/>
  <c r="V51" i="490"/>
  <c r="Q51" i="490"/>
  <c r="K51" i="490"/>
  <c r="J51" i="490"/>
  <c r="V50" i="490"/>
  <c r="Q50" i="490"/>
  <c r="K50" i="490"/>
  <c r="J50" i="490"/>
  <c r="V46" i="490"/>
  <c r="Q46" i="490"/>
  <c r="K46" i="490"/>
  <c r="J46" i="490"/>
  <c r="AY45" i="490"/>
  <c r="V45" i="490"/>
  <c r="Q45" i="490"/>
  <c r="J45" i="490"/>
  <c r="K45" i="490" s="1"/>
  <c r="AY44" i="490"/>
  <c r="V44" i="490"/>
  <c r="Q44" i="490"/>
  <c r="J44" i="490"/>
  <c r="K44" i="490" s="1"/>
  <c r="AY43" i="490"/>
  <c r="V43" i="490"/>
  <c r="Q43" i="490"/>
  <c r="K43" i="490"/>
  <c r="J43" i="490"/>
  <c r="AY42" i="490"/>
  <c r="V42" i="490"/>
  <c r="Q42" i="490"/>
  <c r="K42" i="490"/>
  <c r="J42" i="490"/>
  <c r="AY41" i="490"/>
  <c r="V41" i="490"/>
  <c r="Q41" i="490"/>
  <c r="K41" i="490"/>
  <c r="J41" i="490"/>
  <c r="AY40" i="490"/>
  <c r="O32" i="490"/>
  <c r="O31" i="490"/>
  <c r="O30" i="490"/>
  <c r="O29" i="490"/>
  <c r="O28" i="490"/>
  <c r="O27" i="490"/>
  <c r="P16" i="490"/>
  <c r="J16" i="490"/>
  <c r="P15" i="490"/>
  <c r="J15" i="490"/>
  <c r="P14" i="490"/>
  <c r="J14" i="490"/>
  <c r="P13" i="490"/>
  <c r="Q13" i="490" s="1"/>
  <c r="Q14" i="490" s="1"/>
  <c r="J13" i="490"/>
  <c r="I13" i="490"/>
  <c r="I14" i="490" s="1"/>
  <c r="I15" i="490" s="1"/>
  <c r="I16" i="490" s="1"/>
  <c r="G13" i="490"/>
  <c r="G14" i="490" s="1"/>
  <c r="G15" i="490" s="1"/>
  <c r="G16" i="490" s="1"/>
  <c r="P12" i="490"/>
  <c r="J12" i="490"/>
  <c r="K12" i="490" s="1"/>
  <c r="K13" i="490" s="1"/>
  <c r="K14" i="490" s="1"/>
  <c r="I12" i="490"/>
  <c r="G12" i="490"/>
  <c r="Q11" i="490"/>
  <c r="Q12" i="490" s="1"/>
  <c r="P11" i="490"/>
  <c r="O11" i="490"/>
  <c r="O12" i="490" s="1"/>
  <c r="O13" i="490" s="1"/>
  <c r="O14" i="490" s="1"/>
  <c r="O15" i="490" s="1"/>
  <c r="O16" i="490" s="1"/>
  <c r="M11" i="490"/>
  <c r="M12" i="490" s="1"/>
  <c r="M13" i="490" s="1"/>
  <c r="M14" i="490" s="1"/>
  <c r="M15" i="490" s="1"/>
  <c r="M16" i="490" s="1"/>
  <c r="K11" i="490"/>
  <c r="J11" i="490"/>
  <c r="I11" i="490"/>
  <c r="G11" i="490"/>
  <c r="L3" i="490"/>
  <c r="G2" i="489"/>
  <c r="N12" i="396"/>
  <c r="N11" i="396"/>
  <c r="N10" i="396"/>
  <c r="L3" i="487"/>
  <c r="K15" i="490" l="1"/>
  <c r="K16" i="490" s="1"/>
  <c r="Q15" i="490"/>
  <c r="Q16" i="490"/>
  <c r="I99" i="486"/>
  <c r="I98" i="486"/>
  <c r="I97" i="486"/>
  <c r="I96" i="486"/>
  <c r="I95" i="486"/>
  <c r="I94" i="486"/>
  <c r="Y87" i="486"/>
  <c r="Z87" i="486" s="1"/>
  <c r="AA87" i="486" s="1"/>
  <c r="W87" i="486"/>
  <c r="Y86" i="486"/>
  <c r="Z86" i="486" s="1"/>
  <c r="AA86" i="486" s="1"/>
  <c r="W86" i="486"/>
  <c r="Y85" i="486"/>
  <c r="Z85" i="486" s="1"/>
  <c r="AA85" i="486" s="1"/>
  <c r="W85" i="486"/>
  <c r="Y84" i="486"/>
  <c r="Z84" i="486" s="1"/>
  <c r="AA84" i="486" s="1"/>
  <c r="W84" i="486"/>
  <c r="Y83" i="486"/>
  <c r="Z83" i="486" s="1"/>
  <c r="AA83" i="486" s="1"/>
  <c r="W83" i="486"/>
  <c r="Y82" i="486"/>
  <c r="Z82" i="486" s="1"/>
  <c r="AA82" i="486" s="1"/>
  <c r="W82" i="486"/>
  <c r="V55" i="486"/>
  <c r="Q55" i="486"/>
  <c r="J55" i="486"/>
  <c r="K55" i="486" s="1"/>
  <c r="V54" i="486"/>
  <c r="Q54" i="486"/>
  <c r="J54" i="486"/>
  <c r="K54" i="486" s="1"/>
  <c r="V53" i="486"/>
  <c r="Q53" i="486"/>
  <c r="J53" i="486"/>
  <c r="K53" i="486" s="1"/>
  <c r="V52" i="486"/>
  <c r="Q52" i="486"/>
  <c r="J52" i="486"/>
  <c r="K52" i="486" s="1"/>
  <c r="V51" i="486"/>
  <c r="Q51" i="486"/>
  <c r="J51" i="486"/>
  <c r="K51" i="486" s="1"/>
  <c r="V50" i="486"/>
  <c r="Q50" i="486"/>
  <c r="J50" i="486"/>
  <c r="K50" i="486" s="1"/>
  <c r="V46" i="486"/>
  <c r="Q46" i="486"/>
  <c r="J46" i="486"/>
  <c r="K46" i="486" s="1"/>
  <c r="AY45" i="486"/>
  <c r="V45" i="486"/>
  <c r="Q45" i="486"/>
  <c r="J45" i="486"/>
  <c r="K45" i="486" s="1"/>
  <c r="AY44" i="486"/>
  <c r="V44" i="486"/>
  <c r="Q44" i="486"/>
  <c r="J44" i="486"/>
  <c r="K44" i="486" s="1"/>
  <c r="AY43" i="486"/>
  <c r="V43" i="486"/>
  <c r="Q43" i="486"/>
  <c r="J43" i="486"/>
  <c r="K43" i="486" s="1"/>
  <c r="AY42" i="486"/>
  <c r="V42" i="486"/>
  <c r="Q42" i="486"/>
  <c r="J42" i="486"/>
  <c r="K42" i="486" s="1"/>
  <c r="AY41" i="486"/>
  <c r="V41" i="486"/>
  <c r="Q41" i="486"/>
  <c r="J41" i="486"/>
  <c r="K41" i="486" s="1"/>
  <c r="AY40" i="486"/>
  <c r="O32" i="486"/>
  <c r="O31" i="486"/>
  <c r="O30" i="486"/>
  <c r="O29" i="486"/>
  <c r="O28" i="486"/>
  <c r="O27" i="486"/>
  <c r="P16" i="486"/>
  <c r="J16" i="486"/>
  <c r="P15" i="486"/>
  <c r="J15" i="486"/>
  <c r="P14" i="486"/>
  <c r="J14" i="486"/>
  <c r="P13" i="486"/>
  <c r="Q13" i="486" s="1"/>
  <c r="J13" i="486"/>
  <c r="P12" i="486"/>
  <c r="Q12" i="486" s="1"/>
  <c r="O12" i="486"/>
  <c r="O13" i="486" s="1"/>
  <c r="O14" i="486" s="1"/>
  <c r="O15" i="486" s="1"/>
  <c r="O16" i="486" s="1"/>
  <c r="M12" i="486"/>
  <c r="M13" i="486" s="1"/>
  <c r="M14" i="486" s="1"/>
  <c r="M15" i="486" s="1"/>
  <c r="M16" i="486" s="1"/>
  <c r="J12" i="486"/>
  <c r="P11" i="486"/>
  <c r="Q11" i="486" s="1"/>
  <c r="O11" i="486"/>
  <c r="M11" i="486"/>
  <c r="J11" i="486"/>
  <c r="K11" i="486" s="1"/>
  <c r="I11" i="486"/>
  <c r="I12" i="486" s="1"/>
  <c r="I13" i="486" s="1"/>
  <c r="I14" i="486" s="1"/>
  <c r="I15" i="486" s="1"/>
  <c r="I16" i="486" s="1"/>
  <c r="G11" i="486"/>
  <c r="G12" i="486" s="1"/>
  <c r="G13" i="486" s="1"/>
  <c r="G14" i="486" s="1"/>
  <c r="G15" i="486" s="1"/>
  <c r="G16" i="486" s="1"/>
  <c r="L3" i="486"/>
  <c r="Q14" i="486" l="1"/>
  <c r="Q15" i="486" s="1"/>
  <c r="Q16" i="486" s="1"/>
  <c r="K12" i="486"/>
  <c r="K13" i="486" s="1"/>
  <c r="K14" i="486" s="1"/>
  <c r="K15" i="486" s="1"/>
  <c r="K16" i="486" s="1"/>
  <c r="N84" i="397" l="1"/>
  <c r="O84" i="397" s="1"/>
  <c r="K84" i="397"/>
  <c r="J84" i="397"/>
  <c r="N83" i="397"/>
  <c r="O83" i="397" s="1"/>
  <c r="K83" i="397"/>
  <c r="J83" i="397"/>
  <c r="N82" i="397"/>
  <c r="O82" i="397" s="1"/>
  <c r="K82" i="397"/>
  <c r="J82" i="397"/>
  <c r="N81" i="397"/>
  <c r="O81" i="397" s="1"/>
  <c r="K81" i="397"/>
  <c r="J81" i="397"/>
  <c r="Q81" i="397" s="1"/>
  <c r="N80" i="397"/>
  <c r="O80" i="397" s="1"/>
  <c r="K80" i="397"/>
  <c r="J80" i="397"/>
  <c r="N79" i="397"/>
  <c r="O79" i="397" s="1"/>
  <c r="K79" i="397"/>
  <c r="J79" i="397"/>
  <c r="Q79" i="397" s="1"/>
  <c r="N78" i="397"/>
  <c r="O78" i="397" s="1"/>
  <c r="K78" i="397"/>
  <c r="J78" i="397"/>
  <c r="N77" i="397"/>
  <c r="O77" i="397" s="1"/>
  <c r="K77" i="397"/>
  <c r="J77" i="397"/>
  <c r="N76" i="397"/>
  <c r="O76" i="397" s="1"/>
  <c r="K76" i="397"/>
  <c r="J76" i="397"/>
  <c r="N75" i="397"/>
  <c r="O75" i="397" s="1"/>
  <c r="K75" i="397"/>
  <c r="J75" i="397"/>
  <c r="Q75" i="397" s="1"/>
  <c r="N64" i="397"/>
  <c r="P64" i="397" s="1"/>
  <c r="K64" i="397"/>
  <c r="J64" i="397"/>
  <c r="N65" i="397"/>
  <c r="P65" i="397" s="1"/>
  <c r="K65" i="397"/>
  <c r="J65" i="397"/>
  <c r="N66" i="397"/>
  <c r="P66" i="397" s="1"/>
  <c r="K66" i="397"/>
  <c r="J66" i="397"/>
  <c r="N67" i="397"/>
  <c r="P67" i="397" s="1"/>
  <c r="K67" i="397"/>
  <c r="J67" i="397"/>
  <c r="J50" i="397"/>
  <c r="J51" i="397"/>
  <c r="J52" i="397"/>
  <c r="J53" i="397"/>
  <c r="J54" i="397"/>
  <c r="J55" i="397"/>
  <c r="J56" i="397"/>
  <c r="J57" i="397"/>
  <c r="J58" i="397"/>
  <c r="J59" i="397"/>
  <c r="J60" i="397"/>
  <c r="J61" i="397"/>
  <c r="J62" i="397"/>
  <c r="J63" i="397"/>
  <c r="J68" i="397"/>
  <c r="J69" i="397"/>
  <c r="J70" i="397"/>
  <c r="J71" i="397"/>
  <c r="J72" i="397"/>
  <c r="J73" i="397"/>
  <c r="J74" i="397"/>
  <c r="J85" i="397"/>
  <c r="J86" i="397"/>
  <c r="J87" i="397"/>
  <c r="J88" i="397"/>
  <c r="J49" i="397"/>
  <c r="R84" i="397" l="1"/>
  <c r="Q84" i="397"/>
  <c r="R83" i="397"/>
  <c r="Q83" i="397"/>
  <c r="R82" i="397"/>
  <c r="Q82" i="397"/>
  <c r="R81" i="397"/>
  <c r="R80" i="397"/>
  <c r="Q80" i="397"/>
  <c r="R79" i="397"/>
  <c r="R78" i="397"/>
  <c r="Q78" i="397"/>
  <c r="R77" i="397"/>
  <c r="Q77" i="397"/>
  <c r="R76" i="397"/>
  <c r="Q76" i="397"/>
  <c r="R75" i="397"/>
  <c r="Q64" i="397"/>
  <c r="R64" i="397"/>
  <c r="Q65" i="397"/>
  <c r="R65" i="397"/>
  <c r="Q66" i="397"/>
  <c r="R66" i="397"/>
  <c r="Q67" i="397"/>
  <c r="R67" i="397"/>
  <c r="N88" i="397"/>
  <c r="O88" i="397" s="1"/>
  <c r="K88" i="397"/>
  <c r="Q88" i="397"/>
  <c r="N87" i="397"/>
  <c r="O87" i="397" s="1"/>
  <c r="K87" i="397"/>
  <c r="Q87" i="397"/>
  <c r="N86" i="397"/>
  <c r="O86" i="397" s="1"/>
  <c r="K86" i="397"/>
  <c r="Q86" i="397"/>
  <c r="N85" i="397"/>
  <c r="O85" i="397" s="1"/>
  <c r="K85" i="397"/>
  <c r="Q85" i="397"/>
  <c r="N74" i="397"/>
  <c r="O74" i="397" s="1"/>
  <c r="K74" i="397"/>
  <c r="Q74" i="397"/>
  <c r="N73" i="397"/>
  <c r="O73" i="397" s="1"/>
  <c r="K73" i="397"/>
  <c r="Q73" i="397"/>
  <c r="N72" i="397"/>
  <c r="O72" i="397" s="1"/>
  <c r="K72" i="397"/>
  <c r="Q72" i="397"/>
  <c r="N71" i="397"/>
  <c r="O71" i="397" s="1"/>
  <c r="K71" i="397"/>
  <c r="Q71" i="397"/>
  <c r="N70" i="397"/>
  <c r="O70" i="397" s="1"/>
  <c r="AB84" i="397" s="1"/>
  <c r="AD84" i="397" s="1"/>
  <c r="K70" i="397"/>
  <c r="Q70" i="397"/>
  <c r="N69" i="397"/>
  <c r="O69" i="397" s="1"/>
  <c r="K69" i="397"/>
  <c r="Q69" i="397"/>
  <c r="N68" i="397"/>
  <c r="P68" i="397" s="1"/>
  <c r="K68" i="397"/>
  <c r="R68" i="397" s="1"/>
  <c r="N63" i="397"/>
  <c r="P63" i="397" s="1"/>
  <c r="K63" i="397"/>
  <c r="R63" i="397" s="1"/>
  <c r="N62" i="397"/>
  <c r="P62" i="397" s="1"/>
  <c r="K62" i="397"/>
  <c r="R62" i="397" s="1"/>
  <c r="N61" i="397"/>
  <c r="P61" i="397" s="1"/>
  <c r="K61" i="397"/>
  <c r="R61" i="397" s="1"/>
  <c r="N60" i="397"/>
  <c r="P60" i="397" s="1"/>
  <c r="K60" i="397"/>
  <c r="R60" i="397" s="1"/>
  <c r="N59" i="397"/>
  <c r="P59" i="397" s="1"/>
  <c r="K59" i="397"/>
  <c r="R59" i="397" s="1"/>
  <c r="N58" i="397"/>
  <c r="P58" i="397" s="1"/>
  <c r="K58" i="397"/>
  <c r="R58" i="397" s="1"/>
  <c r="N57" i="397"/>
  <c r="P57" i="397" s="1"/>
  <c r="K57" i="397"/>
  <c r="R57" i="397" s="1"/>
  <c r="N56" i="397"/>
  <c r="P56" i="397" s="1"/>
  <c r="K56" i="397"/>
  <c r="R56" i="397" s="1"/>
  <c r="N55" i="397"/>
  <c r="P55" i="397" s="1"/>
  <c r="K55" i="397"/>
  <c r="R55" i="397" s="1"/>
  <c r="N54" i="397"/>
  <c r="P54" i="397" s="1"/>
  <c r="K54" i="397"/>
  <c r="R54" i="397" s="1"/>
  <c r="N53" i="397"/>
  <c r="P53" i="397" s="1"/>
  <c r="K53" i="397"/>
  <c r="R53" i="397" s="1"/>
  <c r="N52" i="397"/>
  <c r="P52" i="397" s="1"/>
  <c r="K52" i="397"/>
  <c r="R52" i="397" s="1"/>
  <c r="N51" i="397"/>
  <c r="P51" i="397" s="1"/>
  <c r="K51" i="397"/>
  <c r="R51" i="397" s="1"/>
  <c r="N50" i="397"/>
  <c r="P50" i="397" s="1"/>
  <c r="K50" i="397"/>
  <c r="R50" i="397" s="1"/>
  <c r="N49" i="397"/>
  <c r="P49" i="397" s="1"/>
  <c r="K49" i="397"/>
  <c r="R49" i="397" s="1"/>
  <c r="J44" i="397"/>
  <c r="J43" i="397"/>
  <c r="M3" i="397"/>
  <c r="L3" i="396"/>
  <c r="AB82" i="397" l="1"/>
  <c r="AD82" i="397" s="1"/>
  <c r="AB83" i="397"/>
  <c r="AD83" i="397" s="1"/>
  <c r="AB81" i="397"/>
  <c r="AD81" i="397" s="1"/>
  <c r="AA84" i="397"/>
  <c r="AC84" i="397" s="1"/>
  <c r="AA81" i="397"/>
  <c r="AC81" i="397" s="1"/>
  <c r="AA83" i="397"/>
  <c r="AC83" i="397" s="1"/>
  <c r="AA82" i="397"/>
  <c r="AC82" i="397" s="1"/>
  <c r="AB76" i="397"/>
  <c r="AD76" i="397" s="1"/>
  <c r="AB79" i="397"/>
  <c r="AD79" i="397" s="1"/>
  <c r="AB77" i="397"/>
  <c r="AD77" i="397" s="1"/>
  <c r="AB78" i="397"/>
  <c r="AD78" i="397" s="1"/>
  <c r="AA80" i="397"/>
  <c r="AC80" i="397" s="1"/>
  <c r="AA77" i="397"/>
  <c r="AC77" i="397" s="1"/>
  <c r="AA79" i="397"/>
  <c r="AC79" i="397" s="1"/>
  <c r="AA76" i="397"/>
  <c r="AC76" i="397" s="1"/>
  <c r="AA78" i="397"/>
  <c r="AC78" i="397" s="1"/>
  <c r="AA75" i="397"/>
  <c r="AC75" i="397" s="1"/>
  <c r="AB75" i="397"/>
  <c r="AD75" i="397" s="1"/>
  <c r="AB80" i="397"/>
  <c r="AD80" i="397" s="1"/>
  <c r="AA64" i="397"/>
  <c r="AC64" i="397" s="1"/>
  <c r="AA65" i="397"/>
  <c r="AC65" i="397" s="1"/>
  <c r="AB65" i="397"/>
  <c r="AD65" i="397" s="1"/>
  <c r="AB64" i="397"/>
  <c r="AD64" i="397" s="1"/>
  <c r="AA66" i="397"/>
  <c r="AC66" i="397" s="1"/>
  <c r="AA67" i="397"/>
  <c r="AC67" i="397" s="1"/>
  <c r="AB66" i="397"/>
  <c r="AD66" i="397" s="1"/>
  <c r="AB67" i="397"/>
  <c r="AD67" i="397" s="1"/>
  <c r="AB72" i="397"/>
  <c r="AD72" i="397" s="1"/>
  <c r="AA69" i="397"/>
  <c r="AC69" i="397" s="1"/>
  <c r="AA74" i="397"/>
  <c r="AC74" i="397" s="1"/>
  <c r="AA88" i="397"/>
  <c r="AC88" i="397" s="1"/>
  <c r="AA87" i="397"/>
  <c r="AC87" i="397" s="1"/>
  <c r="AA73" i="397"/>
  <c r="AC73" i="397" s="1"/>
  <c r="AA72" i="397"/>
  <c r="AC72" i="397" s="1"/>
  <c r="AA86" i="397"/>
  <c r="AC86" i="397" s="1"/>
  <c r="AA71" i="397"/>
  <c r="AC71" i="397" s="1"/>
  <c r="AA70" i="397"/>
  <c r="AC70" i="397" s="1"/>
  <c r="AA85" i="397"/>
  <c r="AC85" i="397" s="1"/>
  <c r="AA61" i="397"/>
  <c r="AC61" i="397" s="1"/>
  <c r="AA68" i="397"/>
  <c r="AC68" i="397" s="1"/>
  <c r="AB86" i="397"/>
  <c r="AD86" i="397" s="1"/>
  <c r="AA57" i="397"/>
  <c r="AC57" i="397" s="1"/>
  <c r="AA50" i="397"/>
  <c r="AC50" i="397" s="1"/>
  <c r="AA54" i="397"/>
  <c r="AC54" i="397" s="1"/>
  <c r="AA62" i="397"/>
  <c r="AC62" i="397" s="1"/>
  <c r="AB50" i="397"/>
  <c r="AD50" i="397" s="1"/>
  <c r="AB55" i="397"/>
  <c r="AD55" i="397" s="1"/>
  <c r="AB60" i="397"/>
  <c r="AD60" i="397" s="1"/>
  <c r="AB69" i="397"/>
  <c r="AD69" i="397" s="1"/>
  <c r="AB68" i="397"/>
  <c r="AD68" i="397" s="1"/>
  <c r="AB59" i="397"/>
  <c r="AD59" i="397" s="1"/>
  <c r="AB62" i="397"/>
  <c r="AD62" i="397" s="1"/>
  <c r="AB51" i="397"/>
  <c r="AD51" i="397" s="1"/>
  <c r="AB54" i="397"/>
  <c r="AD54" i="397" s="1"/>
  <c r="AB53" i="397"/>
  <c r="AD53" i="397" s="1"/>
  <c r="AB56" i="397"/>
  <c r="AD56" i="397" s="1"/>
  <c r="AB58" i="397"/>
  <c r="AD58" i="397" s="1"/>
  <c r="AB52" i="397"/>
  <c r="AD52" i="397" s="1"/>
  <c r="AB63" i="397"/>
  <c r="AD63" i="397" s="1"/>
  <c r="AB57" i="397"/>
  <c r="AD57" i="397" s="1"/>
  <c r="AB61" i="397"/>
  <c r="AD61" i="397" s="1"/>
  <c r="AB73" i="397"/>
  <c r="AD73" i="397" s="1"/>
  <c r="AB87" i="397"/>
  <c r="AD87" i="397" s="1"/>
  <c r="AA53" i="397"/>
  <c r="AC53" i="397" s="1"/>
  <c r="AA58" i="397"/>
  <c r="AC58" i="397" s="1"/>
  <c r="AA51" i="397"/>
  <c r="AC51" i="397" s="1"/>
  <c r="AA55" i="397"/>
  <c r="AC55" i="397" s="1"/>
  <c r="AA59" i="397"/>
  <c r="AC59" i="397" s="1"/>
  <c r="AA63" i="397"/>
  <c r="AC63" i="397" s="1"/>
  <c r="AB70" i="397"/>
  <c r="AD70" i="397" s="1"/>
  <c r="AB74" i="397"/>
  <c r="AD74" i="397" s="1"/>
  <c r="AB88" i="397"/>
  <c r="AD88" i="397" s="1"/>
  <c r="AA52" i="397"/>
  <c r="AC52" i="397" s="1"/>
  <c r="AA56" i="397"/>
  <c r="AC56" i="397" s="1"/>
  <c r="AA60" i="397"/>
  <c r="AC60" i="397" s="1"/>
  <c r="AB71" i="397"/>
  <c r="AD71" i="397" s="1"/>
  <c r="AB85" i="397"/>
  <c r="AD85" i="397" s="1"/>
  <c r="Q68" i="397"/>
  <c r="Q53" i="397"/>
  <c r="K89" i="397"/>
  <c r="J35" i="397" s="1"/>
  <c r="T84" i="397" s="1"/>
  <c r="Q49" i="397"/>
  <c r="Q57" i="397"/>
  <c r="AB49" i="397"/>
  <c r="AD49" i="397" s="1"/>
  <c r="O89" i="397"/>
  <c r="R69" i="397"/>
  <c r="J89" i="397"/>
  <c r="J34" i="397" s="1"/>
  <c r="Q54" i="397"/>
  <c r="Q62" i="397"/>
  <c r="R88" i="397"/>
  <c r="R71" i="397"/>
  <c r="Q61" i="397"/>
  <c r="R74" i="397"/>
  <c r="Q50" i="397"/>
  <c r="P89" i="397"/>
  <c r="AA49" i="397"/>
  <c r="AC49" i="397" s="1"/>
  <c r="Q52" i="397"/>
  <c r="Q56" i="397"/>
  <c r="Q60" i="397"/>
  <c r="Q58" i="397"/>
  <c r="R86" i="397"/>
  <c r="R72" i="397"/>
  <c r="R70" i="397"/>
  <c r="R87" i="397"/>
  <c r="R73" i="397"/>
  <c r="Q51" i="397"/>
  <c r="Q55" i="397"/>
  <c r="Q59" i="397"/>
  <c r="Q63" i="397"/>
  <c r="R85" i="397"/>
  <c r="V84" i="397" l="1"/>
  <c r="S83" i="397"/>
  <c r="U83" i="397" s="1"/>
  <c r="S84" i="397"/>
  <c r="T82" i="397"/>
  <c r="V82" i="397" s="1"/>
  <c r="T83" i="397"/>
  <c r="S81" i="397"/>
  <c r="U81" i="397" s="1"/>
  <c r="S82" i="397"/>
  <c r="T80" i="397"/>
  <c r="V80" i="397" s="1"/>
  <c r="T81" i="397"/>
  <c r="S79" i="397"/>
  <c r="U79" i="397" s="1"/>
  <c r="S80" i="397"/>
  <c r="T78" i="397"/>
  <c r="V78" i="397" s="1"/>
  <c r="T79" i="397"/>
  <c r="S77" i="397"/>
  <c r="U77" i="397" s="1"/>
  <c r="S78" i="397"/>
  <c r="T76" i="397"/>
  <c r="V76" i="397" s="1"/>
  <c r="T77" i="397"/>
  <c r="S75" i="397"/>
  <c r="U75" i="397" s="1"/>
  <c r="S76" i="397"/>
  <c r="T64" i="397"/>
  <c r="V64" i="397" s="1"/>
  <c r="T75" i="397"/>
  <c r="S65" i="397"/>
  <c r="U65" i="397" s="1"/>
  <c r="S64" i="397"/>
  <c r="T66" i="397"/>
  <c r="V66" i="397" s="1"/>
  <c r="T65" i="397"/>
  <c r="S67" i="397"/>
  <c r="U67" i="397" s="1"/>
  <c r="S66" i="397"/>
  <c r="T55" i="397"/>
  <c r="V55" i="397" s="1"/>
  <c r="T67" i="397"/>
  <c r="T61" i="397"/>
  <c r="V61" i="397" s="1"/>
  <c r="T71" i="397"/>
  <c r="V71" i="397" s="1"/>
  <c r="T87" i="397"/>
  <c r="V87" i="397" s="1"/>
  <c r="T58" i="397"/>
  <c r="V58" i="397" s="1"/>
  <c r="S49" i="397"/>
  <c r="U49" i="397" s="1"/>
  <c r="S59" i="397"/>
  <c r="U59" i="397" s="1"/>
  <c r="T68" i="397"/>
  <c r="V68" i="397" s="1"/>
  <c r="T50" i="397"/>
  <c r="T69" i="397"/>
  <c r="V69" i="397" s="1"/>
  <c r="T52" i="397"/>
  <c r="V52" i="397" s="1"/>
  <c r="T70" i="397"/>
  <c r="T54" i="397"/>
  <c r="V54" i="397" s="1"/>
  <c r="T49" i="397"/>
  <c r="V49" i="397" s="1"/>
  <c r="T72" i="397"/>
  <c r="T56" i="397"/>
  <c r="T51" i="397"/>
  <c r="T73" i="397"/>
  <c r="V73" i="397" s="1"/>
  <c r="T57" i="397"/>
  <c r="V57" i="397" s="1"/>
  <c r="T53" i="397"/>
  <c r="T74" i="397"/>
  <c r="T59" i="397"/>
  <c r="T85" i="397"/>
  <c r="T60" i="397"/>
  <c r="T86" i="397"/>
  <c r="T62" i="397"/>
  <c r="T88" i="397"/>
  <c r="T63" i="397"/>
  <c r="S56" i="397"/>
  <c r="S72" i="397"/>
  <c r="U72" i="397" s="1"/>
  <c r="S52" i="397"/>
  <c r="U52" i="397" s="1"/>
  <c r="S57" i="397"/>
  <c r="S51" i="397"/>
  <c r="S58" i="397"/>
  <c r="S63" i="397"/>
  <c r="S54" i="397"/>
  <c r="S85" i="397"/>
  <c r="S50" i="397"/>
  <c r="S71" i="397"/>
  <c r="S70" i="397"/>
  <c r="U70" i="397" s="1"/>
  <c r="S60" i="397"/>
  <c r="U60" i="397" s="1"/>
  <c r="J37" i="397"/>
  <c r="J40" i="397" s="1"/>
  <c r="S69" i="397"/>
  <c r="S74" i="397"/>
  <c r="S53" i="397"/>
  <c r="S68" i="397"/>
  <c r="S88" i="397"/>
  <c r="S62" i="397"/>
  <c r="S86" i="397"/>
  <c r="J38" i="397"/>
  <c r="J41" i="397" s="1"/>
  <c r="R89" i="397"/>
  <c r="Q89" i="397"/>
  <c r="S73" i="397"/>
  <c r="S55" i="397"/>
  <c r="S87" i="397"/>
  <c r="S61" i="397"/>
  <c r="U84" i="397" l="1"/>
  <c r="V83" i="397"/>
  <c r="U82" i="397"/>
  <c r="V81" i="397"/>
  <c r="U80" i="397"/>
  <c r="V79" i="397"/>
  <c r="U78" i="397"/>
  <c r="V77" i="397"/>
  <c r="U76" i="397"/>
  <c r="V75" i="397"/>
  <c r="U64" i="397"/>
  <c r="V65" i="397"/>
  <c r="U66" i="397"/>
  <c r="V67" i="397"/>
  <c r="U50" i="397"/>
  <c r="U68" i="397"/>
  <c r="V53" i="397"/>
  <c r="V50" i="397"/>
  <c r="V56" i="397"/>
  <c r="V86" i="397"/>
  <c r="U54" i="397"/>
  <c r="U63" i="397"/>
  <c r="U69" i="397"/>
  <c r="U56" i="397"/>
  <c r="U62" i="397"/>
  <c r="U57" i="397"/>
  <c r="V74" i="397"/>
  <c r="U71" i="397"/>
  <c r="V63" i="397"/>
  <c r="V51" i="397"/>
  <c r="U86" i="397"/>
  <c r="V88" i="397"/>
  <c r="V72" i="397"/>
  <c r="V62" i="397"/>
  <c r="U85" i="397"/>
  <c r="U88" i="397"/>
  <c r="V60" i="397"/>
  <c r="V85" i="397"/>
  <c r="U53" i="397"/>
  <c r="U58" i="397"/>
  <c r="V59" i="397"/>
  <c r="V70" i="397"/>
  <c r="U74" i="397"/>
  <c r="U51" i="397"/>
  <c r="U55" i="397"/>
  <c r="U87" i="397"/>
  <c r="U61" i="397"/>
  <c r="U73" i="397"/>
  <c r="V89" i="397" l="1"/>
  <c r="W84" i="397" l="1"/>
  <c r="Y84" i="397" s="1"/>
  <c r="AE84" i="397"/>
  <c r="AG84" i="397" s="1"/>
  <c r="AF84" i="397"/>
  <c r="AH84" i="397" s="1"/>
  <c r="X84" i="397"/>
  <c r="Z84" i="397" s="1"/>
  <c r="AF83" i="397"/>
  <c r="AH83" i="397" s="1"/>
  <c r="X83" i="397"/>
  <c r="Z83" i="397" s="1"/>
  <c r="AE83" i="397"/>
  <c r="AG83" i="397" s="1"/>
  <c r="W83" i="397"/>
  <c r="Y83" i="397" s="1"/>
  <c r="AE82" i="397"/>
  <c r="AG82" i="397" s="1"/>
  <c r="W82" i="397"/>
  <c r="Y82" i="397" s="1"/>
  <c r="X82" i="397"/>
  <c r="Z82" i="397" s="1"/>
  <c r="AF82" i="397"/>
  <c r="AH82" i="397" s="1"/>
  <c r="AF81" i="397"/>
  <c r="AH81" i="397" s="1"/>
  <c r="X81" i="397"/>
  <c r="Z81" i="397" s="1"/>
  <c r="W81" i="397"/>
  <c r="Y81" i="397" s="1"/>
  <c r="AE81" i="397"/>
  <c r="AG81" i="397" s="1"/>
  <c r="AE80" i="397"/>
  <c r="AG80" i="397" s="1"/>
  <c r="X80" i="397"/>
  <c r="Z80" i="397" s="1"/>
  <c r="AF80" i="397"/>
  <c r="AH80" i="397" s="1"/>
  <c r="W80" i="397"/>
  <c r="Y80" i="397" s="1"/>
  <c r="AF79" i="397"/>
  <c r="AH79" i="397" s="1"/>
  <c r="X79" i="397"/>
  <c r="Z79" i="397" s="1"/>
  <c r="AE79" i="397"/>
  <c r="AG79" i="397" s="1"/>
  <c r="W79" i="397"/>
  <c r="Y79" i="397" s="1"/>
  <c r="AE78" i="397"/>
  <c r="AG78" i="397" s="1"/>
  <c r="W78" i="397"/>
  <c r="Y78" i="397" s="1"/>
  <c r="X78" i="397"/>
  <c r="Z78" i="397" s="1"/>
  <c r="AF78" i="397"/>
  <c r="AH78" i="397" s="1"/>
  <c r="AF77" i="397"/>
  <c r="AH77" i="397" s="1"/>
  <c r="AE77" i="397"/>
  <c r="AG77" i="397" s="1"/>
  <c r="W77" i="397"/>
  <c r="Y77" i="397" s="1"/>
  <c r="X77" i="397"/>
  <c r="Z77" i="397" s="1"/>
  <c r="AE76" i="397"/>
  <c r="AG76" i="397" s="1"/>
  <c r="W76" i="397"/>
  <c r="Y76" i="397" s="1"/>
  <c r="X76" i="397"/>
  <c r="Z76" i="397" s="1"/>
  <c r="AF76" i="397"/>
  <c r="AH76" i="397" s="1"/>
  <c r="AF75" i="397"/>
  <c r="AH75" i="397" s="1"/>
  <c r="X75" i="397"/>
  <c r="Z75" i="397" s="1"/>
  <c r="W75" i="397"/>
  <c r="Y75" i="397" s="1"/>
  <c r="AE75" i="397"/>
  <c r="AG75" i="397" s="1"/>
  <c r="AE64" i="397"/>
  <c r="AG64" i="397" s="1"/>
  <c r="W64" i="397"/>
  <c r="Y64" i="397" s="1"/>
  <c r="AF64" i="397"/>
  <c r="AH64" i="397" s="1"/>
  <c r="X64" i="397"/>
  <c r="Z64" i="397" s="1"/>
  <c r="AF65" i="397"/>
  <c r="AH65" i="397" s="1"/>
  <c r="X65" i="397"/>
  <c r="Z65" i="397" s="1"/>
  <c r="AE65" i="397"/>
  <c r="AG65" i="397" s="1"/>
  <c r="W65" i="397"/>
  <c r="Y65" i="397" s="1"/>
  <c r="AE66" i="397"/>
  <c r="AG66" i="397" s="1"/>
  <c r="W66" i="397"/>
  <c r="Y66" i="397" s="1"/>
  <c r="AF66" i="397"/>
  <c r="AH66" i="397" s="1"/>
  <c r="X66" i="397"/>
  <c r="Z66" i="397" s="1"/>
  <c r="X74" i="397"/>
  <c r="Z74" i="397" s="1"/>
  <c r="AF67" i="397"/>
  <c r="AH67" i="397" s="1"/>
  <c r="X67" i="397"/>
  <c r="Z67" i="397" s="1"/>
  <c r="W67" i="397"/>
  <c r="Y67" i="397" s="1"/>
  <c r="AE67" i="397"/>
  <c r="AG67" i="397" s="1"/>
  <c r="W53" i="397"/>
  <c r="Y53" i="397" s="1"/>
  <c r="W87" i="397"/>
  <c r="Y87" i="397" s="1"/>
  <c r="W63" i="397"/>
  <c r="Y63" i="397" s="1"/>
  <c r="AE71" i="397"/>
  <c r="AG71" i="397" s="1"/>
  <c r="AE61" i="397"/>
  <c r="AG61" i="397" s="1"/>
  <c r="AE55" i="397"/>
  <c r="AG55" i="397" s="1"/>
  <c r="AF50" i="397"/>
  <c r="AH50" i="397" s="1"/>
  <c r="AE86" i="397"/>
  <c r="AG86" i="397" s="1"/>
  <c r="AF60" i="397"/>
  <c r="AH60" i="397" s="1"/>
  <c r="AE85" i="397"/>
  <c r="AG85" i="397" s="1"/>
  <c r="AE72" i="397"/>
  <c r="AG72" i="397" s="1"/>
  <c r="AF56" i="397"/>
  <c r="AH56" i="397" s="1"/>
  <c r="AE57" i="397"/>
  <c r="AG57" i="397" s="1"/>
  <c r="AE58" i="397"/>
  <c r="AG58" i="397" s="1"/>
  <c r="AE54" i="397"/>
  <c r="AG54" i="397" s="1"/>
  <c r="AF74" i="397"/>
  <c r="AH74" i="397" s="1"/>
  <c r="AF54" i="397"/>
  <c r="AH54" i="397" s="1"/>
  <c r="AE73" i="397"/>
  <c r="AG73" i="397" s="1"/>
  <c r="AE87" i="397"/>
  <c r="AG87" i="397" s="1"/>
  <c r="AF87" i="397"/>
  <c r="AH87" i="397" s="1"/>
  <c r="AF71" i="397"/>
  <c r="AH71" i="397" s="1"/>
  <c r="AF51" i="397"/>
  <c r="AH51" i="397" s="1"/>
  <c r="AF53" i="397"/>
  <c r="AH53" i="397" s="1"/>
  <c r="AE53" i="397"/>
  <c r="AG53" i="397" s="1"/>
  <c r="AF85" i="397"/>
  <c r="AH85" i="397" s="1"/>
  <c r="AF69" i="397"/>
  <c r="AH69" i="397" s="1"/>
  <c r="AF55" i="397"/>
  <c r="AH55" i="397" s="1"/>
  <c r="AF68" i="397"/>
  <c r="AH68" i="397" s="1"/>
  <c r="AF59" i="397"/>
  <c r="AH59" i="397" s="1"/>
  <c r="AF52" i="397"/>
  <c r="AH52" i="397" s="1"/>
  <c r="AE62" i="397"/>
  <c r="AG62" i="397" s="1"/>
  <c r="AF61" i="397"/>
  <c r="AH61" i="397" s="1"/>
  <c r="AF58" i="397"/>
  <c r="AH58" i="397" s="1"/>
  <c r="AF73" i="397"/>
  <c r="AH73" i="397" s="1"/>
  <c r="AE74" i="397"/>
  <c r="AG74" i="397" s="1"/>
  <c r="AF63" i="397"/>
  <c r="AH63" i="397" s="1"/>
  <c r="AF62" i="397"/>
  <c r="AH62" i="397" s="1"/>
  <c r="AE63" i="397"/>
  <c r="AG63" i="397" s="1"/>
  <c r="AE52" i="397"/>
  <c r="AG52" i="397" s="1"/>
  <c r="AE51" i="397"/>
  <c r="AG51" i="397" s="1"/>
  <c r="AE50" i="397"/>
  <c r="AG50" i="397" s="1"/>
  <c r="AE69" i="397"/>
  <c r="AG69" i="397" s="1"/>
  <c r="AF88" i="397"/>
  <c r="AH88" i="397" s="1"/>
  <c r="AE59" i="397"/>
  <c r="AG59" i="397" s="1"/>
  <c r="AE68" i="397"/>
  <c r="AG68" i="397" s="1"/>
  <c r="AE60" i="397"/>
  <c r="AG60" i="397" s="1"/>
  <c r="AF70" i="397"/>
  <c r="AH70" i="397" s="1"/>
  <c r="AF72" i="397"/>
  <c r="AH72" i="397" s="1"/>
  <c r="AF57" i="397"/>
  <c r="AH57" i="397" s="1"/>
  <c r="AF86" i="397"/>
  <c r="AH86" i="397" s="1"/>
  <c r="AE56" i="397"/>
  <c r="AG56" i="397" s="1"/>
  <c r="AE70" i="397"/>
  <c r="AG70" i="397" s="1"/>
  <c r="AE88" i="397"/>
  <c r="AG88" i="397" s="1"/>
  <c r="X88" i="397"/>
  <c r="Z88" i="397" s="1"/>
  <c r="X73" i="397"/>
  <c r="Z73" i="397" s="1"/>
  <c r="X85" i="397"/>
  <c r="Z85" i="397" s="1"/>
  <c r="X63" i="397"/>
  <c r="Z63" i="397" s="1"/>
  <c r="X68" i="397"/>
  <c r="Z68" i="397" s="1"/>
  <c r="X87" i="397"/>
  <c r="Z87" i="397" s="1"/>
  <c r="W56" i="397"/>
  <c r="Y56" i="397" s="1"/>
  <c r="W73" i="397"/>
  <c r="Y73" i="397" s="1"/>
  <c r="W54" i="397"/>
  <c r="Y54" i="397" s="1"/>
  <c r="X86" i="397"/>
  <c r="Z86" i="397" s="1"/>
  <c r="X62" i="397"/>
  <c r="Z62" i="397" s="1"/>
  <c r="W71" i="397"/>
  <c r="Y71" i="397" s="1"/>
  <c r="W59" i="397"/>
  <c r="Y59" i="397" s="1"/>
  <c r="W58" i="397"/>
  <c r="Y58" i="397" s="1"/>
  <c r="X58" i="397"/>
  <c r="Z58" i="397" s="1"/>
  <c r="W74" i="397"/>
  <c r="Y74" i="397" s="1"/>
  <c r="X57" i="397"/>
  <c r="Z57" i="397" s="1"/>
  <c r="X59" i="397"/>
  <c r="Z59" i="397" s="1"/>
  <c r="W55" i="397"/>
  <c r="Y55" i="397" s="1"/>
  <c r="W70" i="397"/>
  <c r="Y70" i="397" s="1"/>
  <c r="AF49" i="397"/>
  <c r="AH49" i="397" s="1"/>
  <c r="W69" i="397"/>
  <c r="Y69" i="397" s="1"/>
  <c r="W85" i="397"/>
  <c r="Y85" i="397" s="1"/>
  <c r="X60" i="397"/>
  <c r="Z60" i="397" s="1"/>
  <c r="X69" i="397"/>
  <c r="Z69" i="397" s="1"/>
  <c r="X72" i="397"/>
  <c r="Z72" i="397" s="1"/>
  <c r="AE49" i="397"/>
  <c r="X56" i="397"/>
  <c r="Z56" i="397" s="1"/>
  <c r="X50" i="397"/>
  <c r="Z50" i="397" s="1"/>
  <c r="X53" i="397"/>
  <c r="Z53" i="397" s="1"/>
  <c r="W49" i="397"/>
  <c r="Y49" i="397" s="1"/>
  <c r="X49" i="397"/>
  <c r="Z49" i="397" s="1"/>
  <c r="W50" i="397"/>
  <c r="Y50" i="397" s="1"/>
  <c r="X61" i="397"/>
  <c r="Z61" i="397" s="1"/>
  <c r="X71" i="397"/>
  <c r="Z71" i="397" s="1"/>
  <c r="X55" i="397"/>
  <c r="Z55" i="397" s="1"/>
  <c r="X70" i="397"/>
  <c r="Z70" i="397" s="1"/>
  <c r="W61" i="397"/>
  <c r="Y61" i="397" s="1"/>
  <c r="W88" i="397"/>
  <c r="Y88" i="397" s="1"/>
  <c r="W57" i="397"/>
  <c r="Y57" i="397" s="1"/>
  <c r="W86" i="397"/>
  <c r="Y86" i="397" s="1"/>
  <c r="X54" i="397"/>
  <c r="Z54" i="397" s="1"/>
  <c r="X51" i="397"/>
  <c r="Z51" i="397" s="1"/>
  <c r="W72" i="397"/>
  <c r="Y72" i="397" s="1"/>
  <c r="W68" i="397"/>
  <c r="Y68" i="397" s="1"/>
  <c r="W51" i="397"/>
  <c r="Y51" i="397" s="1"/>
  <c r="X52" i="397"/>
  <c r="Z52" i="397" s="1"/>
  <c r="W52" i="397"/>
  <c r="Y52" i="397" s="1"/>
  <c r="W62" i="397"/>
  <c r="Y62" i="397" s="1"/>
  <c r="W60" i="397"/>
  <c r="Y60" i="397" s="1"/>
  <c r="AJ83" i="397" l="1"/>
  <c r="AI82" i="397"/>
  <c r="AJ84" i="397"/>
  <c r="AI84" i="397"/>
  <c r="AJ75" i="397"/>
  <c r="AI78" i="397"/>
  <c r="AJ81" i="397"/>
  <c r="AJ82" i="397"/>
  <c r="AI83" i="397"/>
  <c r="AJ77" i="397"/>
  <c r="AI80" i="397"/>
  <c r="AI81" i="397"/>
  <c r="AJ80" i="397"/>
  <c r="AI79" i="397"/>
  <c r="AJ79" i="397"/>
  <c r="AJ78" i="397"/>
  <c r="AI77" i="397"/>
  <c r="AJ64" i="397"/>
  <c r="AI75" i="397"/>
  <c r="AJ76" i="397"/>
  <c r="AI76" i="397"/>
  <c r="AI64" i="397"/>
  <c r="AJ65" i="397"/>
  <c r="AI66" i="397"/>
  <c r="AI65" i="397"/>
  <c r="AJ66" i="397"/>
  <c r="AJ74" i="397"/>
  <c r="AI67" i="397"/>
  <c r="AJ67" i="397"/>
  <c r="AI61" i="397"/>
  <c r="AI57" i="397"/>
  <c r="AI86" i="397"/>
  <c r="AJ58" i="397"/>
  <c r="AI87" i="397"/>
  <c r="AJ56" i="397"/>
  <c r="AJ50" i="397"/>
  <c r="AJ51" i="397"/>
  <c r="AI51" i="397"/>
  <c r="AI55" i="397"/>
  <c r="AJ59" i="397"/>
  <c r="AJ87" i="397"/>
  <c r="AI53" i="397"/>
  <c r="AI60" i="397"/>
  <c r="AI72" i="397"/>
  <c r="AI52" i="397"/>
  <c r="AI68" i="397"/>
  <c r="AI70" i="397"/>
  <c r="AI73" i="397"/>
  <c r="AJ54" i="397"/>
  <c r="AJ53" i="397"/>
  <c r="AI71" i="397"/>
  <c r="AI85" i="397"/>
  <c r="AJ86" i="397"/>
  <c r="AI56" i="397"/>
  <c r="AJ68" i="397"/>
  <c r="AI88" i="397"/>
  <c r="AJ52" i="397"/>
  <c r="AI59" i="397"/>
  <c r="AG49" i="397"/>
  <c r="AI49" i="397" s="1"/>
  <c r="AI74" i="397"/>
  <c r="AJ63" i="397"/>
  <c r="AJ73" i="397"/>
  <c r="AI62" i="397"/>
  <c r="AJ70" i="397"/>
  <c r="AJ72" i="397"/>
  <c r="AJ85" i="397"/>
  <c r="AI63" i="397"/>
  <c r="AI58" i="397"/>
  <c r="AJ60" i="397"/>
  <c r="AJ55" i="397"/>
  <c r="AJ71" i="397"/>
  <c r="AJ61" i="397"/>
  <c r="AI69" i="397"/>
  <c r="AJ62" i="397"/>
  <c r="AJ69" i="397"/>
  <c r="AJ88" i="397"/>
  <c r="AI50" i="397"/>
  <c r="AI54" i="397"/>
  <c r="AJ57" i="397"/>
  <c r="AJ49" i="39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tc={A72D4E10-6B79-45FA-B3CD-A02D80F6ACA6}</author>
  </authors>
  <commentList>
    <comment ref="E10" authorId="0" shapeId="0" xr:uid="{A72D4E10-6B79-45FA-B3CD-A02D80F6ACA6}">
      <text>
        <t>[Threaded comment]
Your version of Excel allows you to read this threaded comment; however, any edits to it will get removed if the file is opened in a newer version of Excel. Learn more: https://go.microsoft.com/fwlink/?linkid=870924
Comment:
    Length of the shearwall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tc={8E60D451-F918-43DD-B1FE-40B12B5B79F4}</author>
  </authors>
  <commentList>
    <comment ref="E10" authorId="0" shapeId="0" xr:uid="{8E60D451-F918-43DD-B1FE-40B12B5B79F4}">
      <text>
        <t>[Threaded comment]
Your version of Excel allows you to read this threaded comment; however, any edits to it will get removed if the file is opened in a newer version of Excel. Learn more: https://go.microsoft.com/fwlink/?linkid=870924
Comment:
    Length of the shearwall</t>
      </text>
    </comment>
  </commentList>
</comments>
</file>

<file path=xl/sharedStrings.xml><?xml version="1.0" encoding="utf-8"?>
<sst xmlns="http://schemas.openxmlformats.org/spreadsheetml/2006/main" count="1747" uniqueCount="527">
  <si>
    <t>Level (i)</t>
  </si>
  <si>
    <t>Shea Wall Geometry</t>
  </si>
  <si>
    <t>Flexible diaphragm wind</t>
  </si>
  <si>
    <t>Rigid diaphragm wind</t>
  </si>
  <si>
    <t>Envelope diaphragm wind</t>
  </si>
  <si>
    <t>Flexible diaphragm seismic</t>
  </si>
  <si>
    <t>Rigid diaphragm seismic</t>
  </si>
  <si>
    <t>Envelope diaphragm seismic</t>
  </si>
  <si>
    <t>User Defined Forces</t>
  </si>
  <si>
    <r>
      <t>H</t>
    </r>
    <r>
      <rPr>
        <b/>
        <vertAlign val="subscript"/>
        <sz val="10"/>
        <color theme="1"/>
        <rFont val="Arial"/>
        <family val="2"/>
      </rPr>
      <t>i</t>
    </r>
    <r>
      <rPr>
        <b/>
        <sz val="10"/>
        <color theme="1"/>
        <rFont val="Arial"/>
        <family val="2"/>
      </rPr>
      <t xml:space="preserve"> (m)</t>
    </r>
  </si>
  <si>
    <r>
      <t>L</t>
    </r>
    <r>
      <rPr>
        <b/>
        <vertAlign val="subscript"/>
        <sz val="10"/>
        <color theme="1"/>
        <rFont val="Arial"/>
        <family val="2"/>
      </rPr>
      <t>s</t>
    </r>
    <r>
      <rPr>
        <b/>
        <sz val="10"/>
        <color theme="1"/>
        <rFont val="Arial"/>
        <family val="2"/>
      </rPr>
      <t xml:space="preserve"> (m)</t>
    </r>
  </si>
  <si>
    <r>
      <t>V</t>
    </r>
    <r>
      <rPr>
        <b/>
        <vertAlign val="subscript"/>
        <sz val="10"/>
        <color theme="1"/>
        <rFont val="Arial"/>
        <family val="2"/>
      </rPr>
      <t xml:space="preserve">wind </t>
    </r>
    <r>
      <rPr>
        <b/>
        <sz val="10"/>
        <color theme="1"/>
        <rFont val="Arial"/>
        <family val="2"/>
      </rPr>
      <t>(kN)</t>
    </r>
  </si>
  <si>
    <r>
      <rPr>
        <b/>
        <sz val="10"/>
        <color theme="1"/>
        <rFont val="Symbol"/>
        <family val="1"/>
        <charset val="2"/>
      </rPr>
      <t>S</t>
    </r>
    <r>
      <rPr>
        <b/>
        <sz val="10"/>
        <color theme="1"/>
        <rFont val="Arial"/>
        <family val="2"/>
      </rPr>
      <t>v</t>
    </r>
    <r>
      <rPr>
        <b/>
        <vertAlign val="subscript"/>
        <sz val="10"/>
        <color theme="1"/>
        <rFont val="Arial"/>
        <family val="2"/>
      </rPr>
      <t>wind</t>
    </r>
    <r>
      <rPr>
        <b/>
        <sz val="10"/>
        <color theme="1"/>
        <rFont val="Arial"/>
        <family val="2"/>
      </rPr>
      <t xml:space="preserve"> (kN)</t>
    </r>
  </si>
  <si>
    <r>
      <t>V</t>
    </r>
    <r>
      <rPr>
        <b/>
        <vertAlign val="subscript"/>
        <sz val="10"/>
        <color theme="1"/>
        <rFont val="Arial"/>
        <family val="2"/>
      </rPr>
      <t xml:space="preserve">env </t>
    </r>
    <r>
      <rPr>
        <b/>
        <sz val="10"/>
        <color theme="1"/>
        <rFont val="Arial"/>
        <family val="2"/>
      </rPr>
      <t>(kN)</t>
    </r>
  </si>
  <si>
    <r>
      <rPr>
        <b/>
        <sz val="10"/>
        <color theme="1"/>
        <rFont val="Symbol"/>
        <family val="1"/>
        <charset val="2"/>
      </rPr>
      <t>S</t>
    </r>
    <r>
      <rPr>
        <b/>
        <sz val="10"/>
        <color theme="1"/>
        <rFont val="Arial"/>
        <family val="2"/>
      </rPr>
      <t>v</t>
    </r>
    <r>
      <rPr>
        <b/>
        <vertAlign val="subscript"/>
        <sz val="10"/>
        <color theme="1"/>
        <rFont val="Arial"/>
        <family val="2"/>
      </rPr>
      <t>env</t>
    </r>
    <r>
      <rPr>
        <b/>
        <sz val="10"/>
        <color theme="1"/>
        <rFont val="Arial"/>
        <family val="2"/>
      </rPr>
      <t xml:space="preserve"> (kN)</t>
    </r>
  </si>
  <si>
    <r>
      <t>V</t>
    </r>
    <r>
      <rPr>
        <b/>
        <vertAlign val="subscript"/>
        <sz val="10"/>
        <color theme="1"/>
        <rFont val="Arial"/>
        <family val="2"/>
      </rPr>
      <t xml:space="preserve">seis </t>
    </r>
    <r>
      <rPr>
        <b/>
        <sz val="10"/>
        <color theme="1"/>
        <rFont val="Arial"/>
        <family val="2"/>
      </rPr>
      <t>(kN)</t>
    </r>
  </si>
  <si>
    <r>
      <rPr>
        <b/>
        <sz val="10"/>
        <color theme="1"/>
        <rFont val="Symbol"/>
        <family val="1"/>
        <charset val="2"/>
      </rPr>
      <t>S</t>
    </r>
    <r>
      <rPr>
        <b/>
        <sz val="10"/>
        <color theme="1"/>
        <rFont val="Arial"/>
        <family val="2"/>
      </rPr>
      <t>v</t>
    </r>
    <r>
      <rPr>
        <b/>
        <vertAlign val="subscript"/>
        <sz val="10"/>
        <color theme="1"/>
        <rFont val="Arial"/>
        <family val="2"/>
      </rPr>
      <t>seis</t>
    </r>
    <r>
      <rPr>
        <b/>
        <sz val="10"/>
        <color theme="1"/>
        <rFont val="Arial"/>
        <family val="2"/>
      </rPr>
      <t xml:space="preserve"> (kN)</t>
    </r>
  </si>
  <si>
    <r>
      <t>V</t>
    </r>
    <r>
      <rPr>
        <b/>
        <vertAlign val="subscript"/>
        <sz val="10"/>
        <color theme="1"/>
        <rFont val="Arial"/>
        <family val="2"/>
      </rPr>
      <t xml:space="preserve">user </t>
    </r>
    <r>
      <rPr>
        <b/>
        <sz val="10"/>
        <color theme="1"/>
        <rFont val="Arial"/>
        <family val="2"/>
      </rPr>
      <t>(kN)</t>
    </r>
  </si>
  <si>
    <r>
      <rPr>
        <b/>
        <sz val="10"/>
        <color theme="1"/>
        <rFont val="Symbol"/>
        <family val="1"/>
        <charset val="2"/>
      </rPr>
      <t>S</t>
    </r>
    <r>
      <rPr>
        <b/>
        <sz val="10"/>
        <color theme="1"/>
        <rFont val="Arial"/>
        <family val="2"/>
      </rPr>
      <t>v</t>
    </r>
    <r>
      <rPr>
        <b/>
        <vertAlign val="subscript"/>
        <sz val="10"/>
        <color theme="1"/>
        <rFont val="Arial"/>
        <family val="2"/>
      </rPr>
      <t xml:space="preserve">user </t>
    </r>
    <r>
      <rPr>
        <b/>
        <sz val="10"/>
        <color theme="1"/>
        <rFont val="Arial"/>
        <family val="2"/>
      </rPr>
      <t>(kN)</t>
    </r>
  </si>
  <si>
    <t>Roof</t>
  </si>
  <si>
    <t>Load Summary</t>
  </si>
  <si>
    <t>Level</t>
  </si>
  <si>
    <t>Force, F (kN)</t>
  </si>
  <si>
    <r>
      <rPr>
        <b/>
        <sz val="10"/>
        <color theme="1"/>
        <rFont val="Symbol"/>
        <family val="1"/>
        <charset val="2"/>
      </rPr>
      <t>S</t>
    </r>
    <r>
      <rPr>
        <b/>
        <sz val="10"/>
        <color theme="1"/>
        <rFont val="Arial"/>
        <family val="2"/>
      </rPr>
      <t>F (kN)</t>
    </r>
  </si>
  <si>
    <r>
      <t>v</t>
    </r>
    <r>
      <rPr>
        <b/>
        <vertAlign val="subscript"/>
        <sz val="10"/>
        <color theme="1"/>
        <rFont val="Arial"/>
        <family val="2"/>
      </rPr>
      <t>e</t>
    </r>
    <r>
      <rPr>
        <b/>
        <sz val="10"/>
        <color theme="1"/>
        <rFont val="Arial"/>
        <family val="2"/>
      </rPr>
      <t xml:space="preserve"> (kN/m)</t>
    </r>
  </si>
  <si>
    <r>
      <t>w</t>
    </r>
    <r>
      <rPr>
        <b/>
        <vertAlign val="subscript"/>
        <sz val="10"/>
        <color theme="1"/>
        <rFont val="Arial"/>
        <family val="2"/>
      </rPr>
      <t>d</t>
    </r>
    <r>
      <rPr>
        <b/>
        <sz val="10"/>
        <color theme="1"/>
        <rFont val="Arial"/>
        <family val="2"/>
      </rPr>
      <t xml:space="preserve"> (kN/m)</t>
    </r>
  </si>
  <si>
    <r>
      <t>w</t>
    </r>
    <r>
      <rPr>
        <b/>
        <vertAlign val="subscript"/>
        <sz val="10"/>
        <color theme="1"/>
        <rFont val="Arial"/>
        <family val="2"/>
      </rPr>
      <t xml:space="preserve">l </t>
    </r>
    <r>
      <rPr>
        <b/>
        <sz val="10"/>
        <color theme="1"/>
        <rFont val="Arial"/>
        <family val="2"/>
      </rPr>
      <t>(kN/m)</t>
    </r>
  </si>
  <si>
    <r>
      <t>L</t>
    </r>
    <r>
      <rPr>
        <b/>
        <vertAlign val="subscript"/>
        <sz val="10"/>
        <color theme="1"/>
        <rFont val="Arial"/>
        <family val="2"/>
      </rPr>
      <t>w</t>
    </r>
    <r>
      <rPr>
        <b/>
        <sz val="10"/>
        <color theme="1"/>
        <rFont val="Arial"/>
        <family val="2"/>
      </rPr>
      <t xml:space="preserve"> (m)</t>
    </r>
  </si>
  <si>
    <r>
      <t>w</t>
    </r>
    <r>
      <rPr>
        <b/>
        <vertAlign val="subscript"/>
        <sz val="10"/>
        <color theme="1"/>
        <rFont val="Arial"/>
        <family val="2"/>
      </rPr>
      <t>d</t>
    </r>
    <r>
      <rPr>
        <b/>
        <sz val="10"/>
        <color theme="1"/>
        <rFont val="Arial"/>
        <family val="2"/>
      </rPr>
      <t>*L</t>
    </r>
    <r>
      <rPr>
        <b/>
        <vertAlign val="subscript"/>
        <sz val="10"/>
        <color theme="1"/>
        <rFont val="Arial"/>
        <family val="2"/>
      </rPr>
      <t>w</t>
    </r>
    <r>
      <rPr>
        <b/>
        <sz val="10"/>
        <color theme="1"/>
        <rFont val="Arial"/>
        <family val="2"/>
      </rPr>
      <t xml:space="preserve"> (kN)</t>
    </r>
  </si>
  <si>
    <r>
      <t>w</t>
    </r>
    <r>
      <rPr>
        <b/>
        <vertAlign val="subscript"/>
        <sz val="10"/>
        <color theme="1"/>
        <rFont val="Arial"/>
        <family val="2"/>
      </rPr>
      <t>l</t>
    </r>
    <r>
      <rPr>
        <b/>
        <sz val="10"/>
        <color theme="1"/>
        <rFont val="Arial"/>
        <family val="2"/>
      </rPr>
      <t>*L</t>
    </r>
    <r>
      <rPr>
        <b/>
        <vertAlign val="subscript"/>
        <sz val="10"/>
        <color theme="1"/>
        <rFont val="Arial"/>
        <family val="2"/>
      </rPr>
      <t>w</t>
    </r>
    <r>
      <rPr>
        <b/>
        <sz val="10"/>
        <color theme="1"/>
        <rFont val="Arial"/>
        <family val="2"/>
      </rPr>
      <t xml:space="preserve"> (kN)</t>
    </r>
  </si>
  <si>
    <r>
      <t>M</t>
    </r>
    <r>
      <rPr>
        <b/>
        <vertAlign val="subscript"/>
        <sz val="10"/>
        <color theme="1"/>
        <rFont val="Arial"/>
        <family val="2"/>
      </rPr>
      <t>f</t>
    </r>
    <r>
      <rPr>
        <b/>
        <sz val="10"/>
        <color theme="1"/>
        <rFont val="Arial"/>
        <family val="2"/>
      </rPr>
      <t xml:space="preserve"> (kN-m)</t>
    </r>
  </si>
  <si>
    <r>
      <rPr>
        <b/>
        <sz val="10"/>
        <color theme="1"/>
        <rFont val="Symbol"/>
        <family val="1"/>
        <charset val="2"/>
      </rPr>
      <t>S</t>
    </r>
    <r>
      <rPr>
        <b/>
        <sz val="10"/>
        <color theme="1"/>
        <rFont val="Arial"/>
        <family val="2"/>
      </rPr>
      <t>T</t>
    </r>
    <r>
      <rPr>
        <b/>
        <vertAlign val="subscript"/>
        <sz val="10"/>
        <color theme="1"/>
        <rFont val="Arial"/>
        <family val="2"/>
      </rPr>
      <t>f</t>
    </r>
    <r>
      <rPr>
        <b/>
        <sz val="10"/>
        <color theme="1"/>
        <rFont val="Arial"/>
        <family val="2"/>
      </rPr>
      <t xml:space="preserve"> (kN)</t>
    </r>
  </si>
  <si>
    <t xml:space="preserve">Roof </t>
  </si>
  <si>
    <t>User to overwrite in this section</t>
  </si>
  <si>
    <t>Shear wall Geometry</t>
  </si>
  <si>
    <t xml:space="preserve">Shear Capacity </t>
  </si>
  <si>
    <t xml:space="preserve">Hold Down Systems </t>
  </si>
  <si>
    <t>End Posts</t>
  </si>
  <si>
    <t>Panel type</t>
  </si>
  <si>
    <t>Panel thickness (mm)</t>
  </si>
  <si>
    <t>O.S. or B.S</t>
  </si>
  <si>
    <t>Nail Length (mm)</t>
  </si>
  <si>
    <r>
      <t>Nail diameter, d</t>
    </r>
    <r>
      <rPr>
        <b/>
        <vertAlign val="subscript"/>
        <sz val="10"/>
        <color theme="1"/>
        <rFont val="Arial"/>
        <family val="2"/>
      </rPr>
      <t>F</t>
    </r>
    <r>
      <rPr>
        <b/>
        <sz val="10"/>
        <color theme="1"/>
        <rFont val="Arial"/>
        <family val="2"/>
      </rPr>
      <t xml:space="preserve"> (mm)</t>
    </r>
  </si>
  <si>
    <t>Nail Spacing (mm)</t>
  </si>
  <si>
    <r>
      <t>V</t>
    </r>
    <r>
      <rPr>
        <b/>
        <vertAlign val="subscript"/>
        <sz val="10"/>
        <color theme="1"/>
        <rFont val="Arial"/>
        <family val="2"/>
      </rPr>
      <t>r</t>
    </r>
    <r>
      <rPr>
        <b/>
        <sz val="10"/>
        <color theme="1"/>
        <rFont val="Arial"/>
        <family val="2"/>
      </rPr>
      <t xml:space="preserve"> (kN/m)</t>
    </r>
  </si>
  <si>
    <r>
      <t>V</t>
    </r>
    <r>
      <rPr>
        <b/>
        <vertAlign val="subscript"/>
        <sz val="10"/>
        <color theme="1"/>
        <rFont val="Arial"/>
        <family val="2"/>
      </rPr>
      <t>r</t>
    </r>
    <r>
      <rPr>
        <b/>
        <sz val="10"/>
        <color theme="1"/>
        <rFont val="Arial"/>
        <family val="2"/>
      </rPr>
      <t>/V</t>
    </r>
    <r>
      <rPr>
        <b/>
        <vertAlign val="subscript"/>
        <sz val="10"/>
        <color theme="1"/>
        <rFont val="Arial"/>
        <family val="2"/>
      </rPr>
      <t>e</t>
    </r>
  </si>
  <si>
    <t>Remark</t>
  </si>
  <si>
    <t>Type</t>
  </si>
  <si>
    <t>Model</t>
  </si>
  <si>
    <t>Quantity</t>
  </si>
  <si>
    <r>
      <t>T</t>
    </r>
    <r>
      <rPr>
        <b/>
        <vertAlign val="subscript"/>
        <sz val="10"/>
        <color theme="1"/>
        <rFont val="Arial"/>
        <family val="2"/>
      </rPr>
      <t>r</t>
    </r>
    <r>
      <rPr>
        <b/>
        <sz val="10"/>
        <color theme="1"/>
        <rFont val="Arial"/>
        <family val="2"/>
      </rPr>
      <t xml:space="preserve"> (kN)</t>
    </r>
  </si>
  <si>
    <t>Stud</t>
  </si>
  <si>
    <t>Quantity (1x_)</t>
  </si>
  <si>
    <r>
      <t>C</t>
    </r>
    <r>
      <rPr>
        <b/>
        <vertAlign val="subscript"/>
        <sz val="10"/>
        <color theme="1"/>
        <rFont val="Arial"/>
        <family val="2"/>
      </rPr>
      <t xml:space="preserve">r </t>
    </r>
    <r>
      <rPr>
        <b/>
        <sz val="10"/>
        <color theme="1"/>
        <rFont val="Arial"/>
        <family val="2"/>
      </rPr>
      <t>(kN)</t>
    </r>
  </si>
  <si>
    <t>DFP</t>
  </si>
  <si>
    <t>B.S</t>
  </si>
  <si>
    <t>Rod</t>
  </si>
  <si>
    <t>SR16</t>
  </si>
  <si>
    <t>2x6</t>
  </si>
  <si>
    <t xml:space="preserve">Values Used by the analysis </t>
  </si>
  <si>
    <t>Final output to be Exported</t>
  </si>
  <si>
    <t>Shear (kN/m)</t>
  </si>
  <si>
    <t>Shear Clips T.O.W</t>
  </si>
  <si>
    <t>Sill Nail A (76 mm)</t>
  </si>
  <si>
    <t>Sill Nail B (76 mm)</t>
  </si>
  <si>
    <t>Sill Bolts</t>
  </si>
  <si>
    <t>Capacity (kN)</t>
  </si>
  <si>
    <t>Spacing (mm)</t>
  </si>
  <si>
    <t>Row</t>
  </si>
  <si>
    <t>Diameter</t>
  </si>
  <si>
    <t>A35</t>
  </si>
  <si>
    <t>Deflection Summary Table</t>
  </si>
  <si>
    <r>
      <t>Level (</t>
    </r>
    <r>
      <rPr>
        <b/>
        <i/>
        <sz val="10"/>
        <color theme="1"/>
        <rFont val="Arial"/>
        <family val="2"/>
      </rPr>
      <t>i</t>
    </r>
    <r>
      <rPr>
        <b/>
        <sz val="10"/>
        <color theme="1"/>
        <rFont val="Arial"/>
        <family val="2"/>
      </rPr>
      <t>)</t>
    </r>
  </si>
  <si>
    <t xml:space="preserve">Deflection - Bending </t>
  </si>
  <si>
    <t xml:space="preserve">Deflection - Panel Shear </t>
  </si>
  <si>
    <t>Deflection - Nail Slip</t>
  </si>
  <si>
    <t>Deflection - Vertical Deformation</t>
  </si>
  <si>
    <t xml:space="preserve">Deflection - Rotation </t>
  </si>
  <si>
    <t>Total Deflection</t>
  </si>
  <si>
    <t>M (N-mm)</t>
  </si>
  <si>
    <r>
      <t>(EI)</t>
    </r>
    <r>
      <rPr>
        <b/>
        <vertAlign val="subscript"/>
        <sz val="10"/>
        <color theme="1"/>
        <rFont val="Arial"/>
        <family val="2"/>
      </rPr>
      <t xml:space="preserve">tr </t>
    </r>
    <r>
      <rPr>
        <b/>
        <sz val="10"/>
        <color theme="1"/>
        <rFont val="Arial"/>
        <family val="2"/>
      </rPr>
      <t>N-mm</t>
    </r>
    <r>
      <rPr>
        <b/>
        <vertAlign val="superscript"/>
        <sz val="10"/>
        <color theme="1"/>
        <rFont val="Arial"/>
        <family val="2"/>
      </rPr>
      <t>2</t>
    </r>
  </si>
  <si>
    <r>
      <rPr>
        <b/>
        <sz val="10"/>
        <color theme="1"/>
        <rFont val="Symbol"/>
        <family val="1"/>
        <charset val="2"/>
      </rPr>
      <t>D</t>
    </r>
    <r>
      <rPr>
        <b/>
        <vertAlign val="subscript"/>
        <sz val="10"/>
        <color theme="1"/>
        <rFont val="Arial"/>
        <family val="2"/>
      </rPr>
      <t xml:space="preserve">b,I </t>
    </r>
    <r>
      <rPr>
        <b/>
        <sz val="10"/>
        <color theme="1"/>
        <rFont val="Arial"/>
        <family val="2"/>
      </rPr>
      <t>(mm)</t>
    </r>
  </si>
  <si>
    <r>
      <t>B</t>
    </r>
    <r>
      <rPr>
        <b/>
        <vertAlign val="subscript"/>
        <sz val="10"/>
        <color theme="1"/>
        <rFont val="Arial"/>
        <family val="2"/>
      </rPr>
      <t xml:space="preserve">v,I </t>
    </r>
    <r>
      <rPr>
        <b/>
        <sz val="10"/>
        <color theme="1"/>
        <rFont val="Arial"/>
        <family val="2"/>
      </rPr>
      <t>(N/mm)</t>
    </r>
  </si>
  <si>
    <r>
      <rPr>
        <b/>
        <sz val="10"/>
        <color theme="1"/>
        <rFont val="Symbol"/>
        <family val="1"/>
        <charset val="2"/>
      </rPr>
      <t>D</t>
    </r>
    <r>
      <rPr>
        <b/>
        <vertAlign val="subscript"/>
        <sz val="10"/>
        <color theme="1"/>
        <rFont val="Arial"/>
        <family val="2"/>
      </rPr>
      <t xml:space="preserve">s,I </t>
    </r>
    <r>
      <rPr>
        <b/>
        <sz val="10"/>
        <color theme="1"/>
        <rFont val="Arial"/>
        <family val="2"/>
      </rPr>
      <t>(mm)</t>
    </r>
  </si>
  <si>
    <r>
      <t>v</t>
    </r>
    <r>
      <rPr>
        <b/>
        <vertAlign val="subscript"/>
        <sz val="10"/>
        <color theme="1"/>
        <rFont val="Arial"/>
        <family val="2"/>
      </rPr>
      <t>e</t>
    </r>
    <r>
      <rPr>
        <b/>
        <sz val="10"/>
        <color theme="1"/>
        <rFont val="Arial"/>
        <family val="2"/>
      </rPr>
      <t xml:space="preserve"> (N/mm)</t>
    </r>
  </si>
  <si>
    <r>
      <t>e</t>
    </r>
    <r>
      <rPr>
        <b/>
        <vertAlign val="subscript"/>
        <sz val="10"/>
        <color theme="1"/>
        <rFont val="Arial"/>
        <family val="2"/>
      </rPr>
      <t xml:space="preserve">n </t>
    </r>
    <r>
      <rPr>
        <b/>
        <sz val="10"/>
        <color theme="1"/>
        <rFont val="Arial"/>
        <family val="2"/>
      </rPr>
      <t>(mm)</t>
    </r>
  </si>
  <si>
    <r>
      <t>d</t>
    </r>
    <r>
      <rPr>
        <b/>
        <vertAlign val="subscript"/>
        <sz val="10"/>
        <color theme="1"/>
        <rFont val="Arial"/>
        <family val="2"/>
      </rPr>
      <t xml:space="preserve">max </t>
    </r>
    <r>
      <rPr>
        <b/>
        <sz val="10"/>
        <color theme="1"/>
        <rFont val="Arial"/>
        <family val="2"/>
      </rPr>
      <t>(mm)</t>
    </r>
  </si>
  <si>
    <r>
      <rPr>
        <b/>
        <sz val="10"/>
        <color theme="1"/>
        <rFont val="Symbol"/>
        <family val="1"/>
        <charset val="2"/>
      </rPr>
      <t>D</t>
    </r>
    <r>
      <rPr>
        <b/>
        <vertAlign val="subscript"/>
        <sz val="10"/>
        <color theme="1"/>
        <rFont val="Arial"/>
        <family val="2"/>
      </rPr>
      <t xml:space="preserve">R </t>
    </r>
    <r>
      <rPr>
        <b/>
        <sz val="10"/>
        <color theme="1"/>
        <rFont val="Arial"/>
        <family val="2"/>
      </rPr>
      <t>(mm)</t>
    </r>
  </si>
  <si>
    <r>
      <t>d</t>
    </r>
    <r>
      <rPr>
        <b/>
        <vertAlign val="subscript"/>
        <sz val="10"/>
        <color theme="1"/>
        <rFont val="Arial"/>
        <family val="2"/>
      </rPr>
      <t xml:space="preserve">a </t>
    </r>
    <r>
      <rPr>
        <b/>
        <sz val="10"/>
        <color theme="1"/>
        <rFont val="Arial"/>
        <family val="2"/>
      </rPr>
      <t>(mm)</t>
    </r>
  </si>
  <si>
    <r>
      <rPr>
        <b/>
        <sz val="10"/>
        <color theme="1"/>
        <rFont val="Symbol"/>
        <family val="1"/>
        <charset val="2"/>
      </rPr>
      <t>D</t>
    </r>
    <r>
      <rPr>
        <b/>
        <vertAlign val="subscript"/>
        <sz val="10"/>
        <color theme="1"/>
        <rFont val="Arial"/>
        <family val="2"/>
      </rPr>
      <t xml:space="preserve">a,I </t>
    </r>
    <r>
      <rPr>
        <b/>
        <sz val="10"/>
        <color theme="1"/>
        <rFont val="Arial"/>
        <family val="2"/>
      </rPr>
      <t>(mm)</t>
    </r>
  </si>
  <si>
    <t>Sq</t>
  </si>
  <si>
    <t>Sa</t>
  </si>
  <si>
    <r>
      <t>D</t>
    </r>
    <r>
      <rPr>
        <b/>
        <vertAlign val="subscript"/>
        <sz val="10"/>
        <color theme="1"/>
        <rFont val="Arial"/>
        <family val="2"/>
      </rPr>
      <t xml:space="preserve">ri </t>
    </r>
    <r>
      <rPr>
        <b/>
        <sz val="10"/>
        <color theme="1"/>
        <rFont val="Arial"/>
        <family val="2"/>
      </rPr>
      <t>(mm)</t>
    </r>
  </si>
  <si>
    <r>
      <rPr>
        <b/>
        <sz val="10"/>
        <color theme="1"/>
        <rFont val="Symbol"/>
        <family val="1"/>
        <charset val="2"/>
      </rPr>
      <t>D</t>
    </r>
    <r>
      <rPr>
        <b/>
        <vertAlign val="subscript"/>
        <sz val="10"/>
        <color theme="1"/>
        <rFont val="Arial"/>
        <family val="2"/>
      </rPr>
      <t xml:space="preserve">i </t>
    </r>
    <r>
      <rPr>
        <b/>
        <sz val="10"/>
        <color theme="1"/>
        <rFont val="Arial"/>
        <family val="2"/>
      </rPr>
      <t>(mm)</t>
    </r>
  </si>
  <si>
    <t>H (mm)</t>
  </si>
  <si>
    <t>Drift Ratio</t>
  </si>
  <si>
    <t xml:space="preserve">Drift Limit </t>
  </si>
  <si>
    <t>ATS System Component Summary</t>
  </si>
  <si>
    <t>Coupler nuts</t>
  </si>
  <si>
    <t>Bearing Plates</t>
  </si>
  <si>
    <t>Take up device</t>
  </si>
  <si>
    <t>Capacity</t>
  </si>
  <si>
    <t xml:space="preserve">Type </t>
  </si>
  <si>
    <r>
      <rPr>
        <b/>
        <sz val="10"/>
        <color theme="1"/>
        <rFont val="Symbol"/>
        <family val="1"/>
        <charset val="2"/>
      </rPr>
      <t>D</t>
    </r>
    <r>
      <rPr>
        <b/>
        <vertAlign val="subscript"/>
        <sz val="10"/>
        <color theme="1"/>
        <rFont val="Arial"/>
        <family val="2"/>
      </rPr>
      <t xml:space="preserve">F </t>
    </r>
    <r>
      <rPr>
        <b/>
        <sz val="10"/>
        <color theme="1"/>
        <rFont val="Arial"/>
        <family val="2"/>
      </rPr>
      <t>(mm)</t>
    </r>
  </si>
  <si>
    <t>BPRTUD7-8B</t>
  </si>
  <si>
    <t>ATUD9-3</t>
  </si>
  <si>
    <t>BPRTUD5-6B</t>
  </si>
  <si>
    <t>ATUD14</t>
  </si>
  <si>
    <t>Detailed design calculations:</t>
  </si>
  <si>
    <t>Shear Wall :</t>
  </si>
  <si>
    <t>SW1</t>
  </si>
  <si>
    <t>Level:</t>
  </si>
  <si>
    <t>ALL</t>
  </si>
  <si>
    <t>(a) Sheathing to framing connection</t>
  </si>
  <si>
    <r>
      <t>V</t>
    </r>
    <r>
      <rPr>
        <vertAlign val="subscript"/>
        <sz val="10"/>
        <color theme="1"/>
        <rFont val="Arial"/>
        <family val="2"/>
      </rPr>
      <t>rs</t>
    </r>
    <r>
      <rPr>
        <sz val="10"/>
        <color theme="1"/>
        <rFont val="Arial"/>
        <family val="2"/>
      </rPr>
      <t xml:space="preserve"> =</t>
    </r>
    <r>
      <rPr>
        <sz val="10"/>
        <color theme="1"/>
        <rFont val="Symbol"/>
        <family val="1"/>
        <charset val="2"/>
      </rPr>
      <t xml:space="preserve"> f</t>
    </r>
    <r>
      <rPr>
        <sz val="10"/>
        <color theme="1"/>
        <rFont val="Arial"/>
        <family val="2"/>
      </rPr>
      <t>*v</t>
    </r>
    <r>
      <rPr>
        <vertAlign val="subscript"/>
        <sz val="10"/>
        <color theme="1"/>
        <rFont val="Arial"/>
        <family val="2"/>
      </rPr>
      <t>d</t>
    </r>
    <r>
      <rPr>
        <sz val="10"/>
        <color theme="1"/>
        <rFont val="Arial"/>
        <family val="2"/>
      </rPr>
      <t>*J</t>
    </r>
    <r>
      <rPr>
        <vertAlign val="subscript"/>
        <sz val="10"/>
        <color theme="1"/>
        <rFont val="Arial"/>
        <family val="2"/>
      </rPr>
      <t>D</t>
    </r>
    <r>
      <rPr>
        <sz val="10"/>
        <color theme="1"/>
        <rFont val="Arial"/>
        <family val="2"/>
      </rPr>
      <t>*n</t>
    </r>
    <r>
      <rPr>
        <vertAlign val="subscript"/>
        <sz val="10"/>
        <color theme="1"/>
        <rFont val="Arial"/>
        <family val="2"/>
      </rPr>
      <t>s</t>
    </r>
    <r>
      <rPr>
        <sz val="10"/>
        <color theme="1"/>
        <rFont val="Arial"/>
        <family val="2"/>
      </rPr>
      <t>*J</t>
    </r>
    <r>
      <rPr>
        <vertAlign val="subscript"/>
        <sz val="10"/>
        <color theme="1"/>
        <rFont val="Arial"/>
        <family val="2"/>
      </rPr>
      <t>us</t>
    </r>
    <r>
      <rPr>
        <sz val="10"/>
        <color theme="1"/>
        <rFont val="Arial"/>
        <family val="2"/>
      </rPr>
      <t>*J</t>
    </r>
    <r>
      <rPr>
        <vertAlign val="subscript"/>
        <sz val="10"/>
        <color theme="1"/>
        <rFont val="Arial"/>
        <family val="2"/>
      </rPr>
      <t>s</t>
    </r>
    <r>
      <rPr>
        <sz val="10"/>
        <color theme="1"/>
        <rFont val="Arial"/>
        <family val="2"/>
      </rPr>
      <t>*J</t>
    </r>
    <r>
      <rPr>
        <vertAlign val="subscript"/>
        <sz val="10"/>
        <color theme="1"/>
        <rFont val="Arial"/>
        <family val="2"/>
      </rPr>
      <t>hd</t>
    </r>
    <r>
      <rPr>
        <sz val="10"/>
        <color theme="1"/>
        <rFont val="Arial"/>
        <family val="2"/>
      </rPr>
      <t>*L</t>
    </r>
    <r>
      <rPr>
        <vertAlign val="subscript"/>
        <sz val="10"/>
        <color theme="1"/>
        <rFont val="Arial"/>
        <family val="2"/>
      </rPr>
      <t>s</t>
    </r>
  </si>
  <si>
    <t>f</t>
  </si>
  <si>
    <t>=</t>
  </si>
  <si>
    <t>Reduction factor = 0.8</t>
  </si>
  <si>
    <r>
      <t>v</t>
    </r>
    <r>
      <rPr>
        <vertAlign val="subscript"/>
        <sz val="10"/>
        <color theme="1"/>
        <rFont val="Arial"/>
        <family val="2"/>
      </rPr>
      <t>d</t>
    </r>
  </si>
  <si>
    <t>Shear capacity, Nu/s, kN/m</t>
  </si>
  <si>
    <r>
      <t>N</t>
    </r>
    <r>
      <rPr>
        <vertAlign val="subscript"/>
        <sz val="10"/>
        <color theme="1"/>
        <rFont val="Arial"/>
        <family val="2"/>
      </rPr>
      <t>u</t>
    </r>
  </si>
  <si>
    <t>Lateral strength resistance of sheathing to framing connection along panel edges</t>
  </si>
  <si>
    <t>s</t>
  </si>
  <si>
    <t>fastener spacing along panel edges</t>
  </si>
  <si>
    <r>
      <t>J</t>
    </r>
    <r>
      <rPr>
        <vertAlign val="subscript"/>
        <sz val="10"/>
        <color theme="1"/>
        <rFont val="Arial"/>
        <family val="2"/>
      </rPr>
      <t>D</t>
    </r>
  </si>
  <si>
    <t>Adjhustment factor for diaphragm and shearwall construction (See clause 12.9.3.1)</t>
  </si>
  <si>
    <r>
      <t>n</t>
    </r>
    <r>
      <rPr>
        <vertAlign val="subscript"/>
        <sz val="10"/>
        <color theme="1"/>
        <rFont val="Arial"/>
        <family val="2"/>
      </rPr>
      <t>s</t>
    </r>
  </si>
  <si>
    <t>number of shear planes</t>
  </si>
  <si>
    <r>
      <t>J</t>
    </r>
    <r>
      <rPr>
        <vertAlign val="subscript"/>
        <sz val="10"/>
        <color theme="1"/>
        <rFont val="Arial"/>
        <family val="2"/>
      </rPr>
      <t>us</t>
    </r>
  </si>
  <si>
    <t>Strength adjustment factor</t>
  </si>
  <si>
    <r>
      <t>J</t>
    </r>
    <r>
      <rPr>
        <vertAlign val="subscript"/>
        <sz val="10"/>
        <color theme="1"/>
        <rFont val="Arial"/>
        <family val="2"/>
      </rPr>
      <t>s</t>
    </r>
  </si>
  <si>
    <t>Fastener spacing adjustment factor</t>
  </si>
  <si>
    <r>
      <t>J</t>
    </r>
    <r>
      <rPr>
        <vertAlign val="subscript"/>
        <sz val="10"/>
        <color theme="1"/>
        <rFont val="Arial"/>
        <family val="2"/>
      </rPr>
      <t>hd</t>
    </r>
  </si>
  <si>
    <t>Hold-down effect factor for shearwall segment</t>
  </si>
  <si>
    <r>
      <t>L</t>
    </r>
    <r>
      <rPr>
        <vertAlign val="subscript"/>
        <sz val="10"/>
        <color theme="1"/>
        <rFont val="Arial"/>
        <family val="2"/>
      </rPr>
      <t>s</t>
    </r>
  </si>
  <si>
    <t>Length of shearwall segment parallel to direction of factored load</t>
  </si>
  <si>
    <t>No of Storey</t>
  </si>
  <si>
    <r>
      <t>v</t>
    </r>
    <r>
      <rPr>
        <b/>
        <vertAlign val="subscript"/>
        <sz val="10"/>
        <color theme="1"/>
        <rFont val="Arial"/>
        <family val="2"/>
      </rPr>
      <t>d</t>
    </r>
    <r>
      <rPr>
        <b/>
        <sz val="10"/>
        <color theme="1"/>
        <rFont val="Arial"/>
        <family val="2"/>
      </rPr>
      <t xml:space="preserve"> (N/mm)</t>
    </r>
  </si>
  <si>
    <r>
      <t>N</t>
    </r>
    <r>
      <rPr>
        <b/>
        <vertAlign val="subscript"/>
        <sz val="10"/>
        <color theme="1"/>
        <rFont val="Arial"/>
        <family val="2"/>
      </rPr>
      <t>u</t>
    </r>
    <r>
      <rPr>
        <b/>
        <sz val="10"/>
        <color theme="1"/>
        <rFont val="Arial"/>
        <family val="2"/>
      </rPr>
      <t>, N</t>
    </r>
  </si>
  <si>
    <t>s (mm)</t>
  </si>
  <si>
    <r>
      <t>J</t>
    </r>
    <r>
      <rPr>
        <b/>
        <vertAlign val="subscript"/>
        <sz val="10"/>
        <color theme="1"/>
        <rFont val="Arial"/>
        <family val="2"/>
      </rPr>
      <t>D</t>
    </r>
  </si>
  <si>
    <r>
      <t>n</t>
    </r>
    <r>
      <rPr>
        <b/>
        <vertAlign val="subscript"/>
        <sz val="10"/>
        <color theme="1"/>
        <rFont val="Arial"/>
        <family val="2"/>
      </rPr>
      <t>s</t>
    </r>
  </si>
  <si>
    <r>
      <t>J</t>
    </r>
    <r>
      <rPr>
        <b/>
        <vertAlign val="subscript"/>
        <sz val="10"/>
        <color theme="1"/>
        <rFont val="Arial"/>
        <family val="2"/>
      </rPr>
      <t>us</t>
    </r>
  </si>
  <si>
    <r>
      <t>J</t>
    </r>
    <r>
      <rPr>
        <b/>
        <vertAlign val="subscript"/>
        <sz val="10"/>
        <color theme="1"/>
        <rFont val="Arial"/>
        <family val="2"/>
      </rPr>
      <t>s</t>
    </r>
  </si>
  <si>
    <r>
      <t>J</t>
    </r>
    <r>
      <rPr>
        <b/>
        <vertAlign val="subscript"/>
        <sz val="10"/>
        <color theme="1"/>
        <rFont val="Arial"/>
        <family val="2"/>
      </rPr>
      <t>hd</t>
    </r>
  </si>
  <si>
    <r>
      <t>L</t>
    </r>
    <r>
      <rPr>
        <b/>
        <vertAlign val="subscript"/>
        <sz val="10"/>
        <color theme="1"/>
        <rFont val="Arial"/>
        <family val="2"/>
      </rPr>
      <t xml:space="preserve">s </t>
    </r>
    <r>
      <rPr>
        <b/>
        <sz val="10"/>
        <color theme="1"/>
        <rFont val="Arial"/>
        <family val="2"/>
      </rPr>
      <t>(m)</t>
    </r>
  </si>
  <si>
    <t xml:space="preserve">(b) Sheathing panel buckling </t>
  </si>
  <si>
    <r>
      <t>V</t>
    </r>
    <r>
      <rPr>
        <vertAlign val="subscript"/>
        <sz val="10"/>
        <color theme="1"/>
        <rFont val="Arial"/>
        <family val="2"/>
      </rPr>
      <t>rs</t>
    </r>
    <r>
      <rPr>
        <sz val="10"/>
        <color theme="1"/>
        <rFont val="Arial"/>
        <family val="2"/>
      </rPr>
      <t xml:space="preserve"> =</t>
    </r>
    <r>
      <rPr>
        <sz val="10"/>
        <color theme="1"/>
        <rFont val="Symbol"/>
        <family val="1"/>
        <charset val="2"/>
      </rPr>
      <t xml:space="preserve"> f</t>
    </r>
    <r>
      <rPr>
        <sz val="10"/>
        <color theme="1"/>
        <rFont val="Arial"/>
        <family val="2"/>
      </rPr>
      <t>*v</t>
    </r>
    <r>
      <rPr>
        <vertAlign val="subscript"/>
        <sz val="10"/>
        <color theme="1"/>
        <rFont val="Arial"/>
        <family val="2"/>
      </rPr>
      <t>pb</t>
    </r>
    <r>
      <rPr>
        <sz val="10"/>
        <color theme="1"/>
        <rFont val="Arial"/>
        <family val="2"/>
      </rPr>
      <t>*K</t>
    </r>
    <r>
      <rPr>
        <vertAlign val="subscript"/>
        <sz val="10"/>
        <color theme="1"/>
        <rFont val="Arial"/>
        <family val="2"/>
      </rPr>
      <t>D</t>
    </r>
    <r>
      <rPr>
        <sz val="10"/>
        <color theme="1"/>
        <rFont val="Arial"/>
        <family val="2"/>
      </rPr>
      <t>*K</t>
    </r>
    <r>
      <rPr>
        <vertAlign val="subscript"/>
        <sz val="10"/>
        <color theme="1"/>
        <rFont val="Arial"/>
        <family val="2"/>
      </rPr>
      <t>s</t>
    </r>
    <r>
      <rPr>
        <sz val="10"/>
        <color theme="1"/>
        <rFont val="Arial"/>
        <family val="2"/>
      </rPr>
      <t>*K</t>
    </r>
    <r>
      <rPr>
        <vertAlign val="subscript"/>
        <sz val="10"/>
        <color theme="1"/>
        <rFont val="Arial"/>
        <family val="2"/>
      </rPr>
      <t>T</t>
    </r>
    <r>
      <rPr>
        <sz val="10"/>
        <color theme="1"/>
        <rFont val="Arial"/>
        <family val="2"/>
      </rPr>
      <t>*L</t>
    </r>
    <r>
      <rPr>
        <vertAlign val="subscript"/>
        <sz val="10"/>
        <color theme="1"/>
        <rFont val="Arial"/>
        <family val="2"/>
      </rPr>
      <t>s</t>
    </r>
  </si>
  <si>
    <r>
      <t>v</t>
    </r>
    <r>
      <rPr>
        <vertAlign val="subscript"/>
        <sz val="10"/>
        <color theme="1"/>
        <rFont val="Arial"/>
        <family val="2"/>
      </rPr>
      <t>pb</t>
    </r>
  </si>
  <si>
    <t xml:space="preserve">Panel buckling strength of the most critical structural panel within segment </t>
  </si>
  <si>
    <r>
      <t>K</t>
    </r>
    <r>
      <rPr>
        <vertAlign val="subscript"/>
        <sz val="10"/>
        <color theme="1"/>
        <rFont val="Arial"/>
        <family val="2"/>
      </rPr>
      <t>D</t>
    </r>
  </si>
  <si>
    <t>Load duration factor</t>
  </si>
  <si>
    <t>Ks</t>
  </si>
  <si>
    <t>Service condition factor</t>
  </si>
  <si>
    <r>
      <t>K</t>
    </r>
    <r>
      <rPr>
        <vertAlign val="subscript"/>
        <sz val="10"/>
        <color theme="1"/>
        <rFont val="Arial"/>
        <family val="2"/>
      </rPr>
      <t>T</t>
    </r>
  </si>
  <si>
    <t xml:space="preserve">Treatment factor </t>
  </si>
  <si>
    <t>Ls</t>
  </si>
  <si>
    <t xml:space="preserve">Shear wall length </t>
  </si>
  <si>
    <r>
      <t>K</t>
    </r>
    <r>
      <rPr>
        <vertAlign val="subscript"/>
        <sz val="10"/>
        <color theme="1"/>
        <rFont val="Arial"/>
        <family val="2"/>
      </rPr>
      <t>pb</t>
    </r>
  </si>
  <si>
    <t>Panel buckling factor</t>
  </si>
  <si>
    <r>
      <t>V</t>
    </r>
    <r>
      <rPr>
        <b/>
        <vertAlign val="subscript"/>
        <sz val="10"/>
        <color theme="1"/>
        <rFont val="Arial"/>
        <family val="2"/>
      </rPr>
      <t>pb</t>
    </r>
    <r>
      <rPr>
        <b/>
        <sz val="10"/>
        <color theme="1"/>
        <rFont val="Arial"/>
        <family val="2"/>
      </rPr>
      <t xml:space="preserve"> (N/mm)</t>
    </r>
  </si>
  <si>
    <r>
      <t>K</t>
    </r>
    <r>
      <rPr>
        <b/>
        <vertAlign val="subscript"/>
        <sz val="10"/>
        <color theme="1"/>
        <rFont val="Arial"/>
        <family val="2"/>
      </rPr>
      <t>D</t>
    </r>
  </si>
  <si>
    <r>
      <t>K</t>
    </r>
    <r>
      <rPr>
        <b/>
        <vertAlign val="subscript"/>
        <sz val="10"/>
        <color theme="1"/>
        <rFont val="Arail"/>
      </rPr>
      <t>s</t>
    </r>
  </si>
  <si>
    <r>
      <t>K</t>
    </r>
    <r>
      <rPr>
        <b/>
        <vertAlign val="subscript"/>
        <sz val="10"/>
        <color theme="1"/>
        <rFont val="Arial"/>
        <family val="2"/>
      </rPr>
      <t>T</t>
    </r>
  </si>
  <si>
    <t>a</t>
  </si>
  <si>
    <t>h</t>
  </si>
  <si>
    <r>
      <t>k</t>
    </r>
    <r>
      <rPr>
        <b/>
        <vertAlign val="subscript"/>
        <sz val="10"/>
        <color theme="1"/>
        <rFont val="Arial"/>
        <family val="2"/>
      </rPr>
      <t>pb</t>
    </r>
  </si>
  <si>
    <t>(c) Deflections of Stacked Multi-Storey Wood-Based Shear Walls</t>
  </si>
  <si>
    <r>
      <rPr>
        <sz val="10"/>
        <color theme="1"/>
        <rFont val="Symbol"/>
        <family val="1"/>
        <charset val="2"/>
      </rPr>
      <t>D</t>
    </r>
    <r>
      <rPr>
        <vertAlign val="subscript"/>
        <sz val="10"/>
        <color theme="1"/>
        <rFont val="Arial"/>
        <family val="2"/>
      </rPr>
      <t>b,i</t>
    </r>
  </si>
  <si>
    <t>Inter-storey deflection due to bending of the i-th storey</t>
  </si>
  <si>
    <r>
      <rPr>
        <sz val="10"/>
        <color theme="1"/>
        <rFont val="Symbol"/>
        <family val="1"/>
        <charset val="2"/>
      </rPr>
      <t>D</t>
    </r>
    <r>
      <rPr>
        <vertAlign val="subscript"/>
        <sz val="10"/>
        <color theme="1"/>
        <rFont val="Arial"/>
        <family val="2"/>
      </rPr>
      <t>s,i</t>
    </r>
  </si>
  <si>
    <t>Inter-storey deflection due to panel shear of the i-th storey</t>
  </si>
  <si>
    <r>
      <rPr>
        <sz val="10"/>
        <color theme="1"/>
        <rFont val="Symbol"/>
        <family val="1"/>
        <charset val="2"/>
      </rPr>
      <t>D</t>
    </r>
    <r>
      <rPr>
        <vertAlign val="subscript"/>
        <sz val="10"/>
        <color theme="1"/>
        <rFont val="Arial"/>
        <family val="2"/>
      </rPr>
      <t>n,i</t>
    </r>
  </si>
  <si>
    <t>Inter-storey deflection due to nail slip of the i-th storey</t>
  </si>
  <si>
    <r>
      <rPr>
        <sz val="10"/>
        <color theme="1"/>
        <rFont val="Symbol"/>
        <family val="1"/>
        <charset val="2"/>
      </rPr>
      <t>D</t>
    </r>
    <r>
      <rPr>
        <vertAlign val="subscript"/>
        <sz val="10"/>
        <color theme="1"/>
        <rFont val="Arial"/>
        <family val="2"/>
      </rPr>
      <t>a,i</t>
    </r>
  </si>
  <si>
    <t>Inter-storey deflection due to vertical elongation of the wall anchorage system of the i-th storey</t>
  </si>
  <si>
    <r>
      <rPr>
        <sz val="10"/>
        <color theme="1"/>
        <rFont val="Symbol"/>
        <family val="1"/>
        <charset val="2"/>
      </rPr>
      <t>D</t>
    </r>
    <r>
      <rPr>
        <vertAlign val="subscript"/>
        <sz val="10"/>
        <color theme="1"/>
        <rFont val="Arial"/>
        <family val="2"/>
      </rPr>
      <t>r,i</t>
    </r>
  </si>
  <si>
    <t>Inter-storey deflection due to rotation at the bottom of the i-th storey</t>
  </si>
  <si>
    <r>
      <rPr>
        <sz val="10"/>
        <color theme="1"/>
        <rFont val="Symbol"/>
        <family val="1"/>
        <charset val="2"/>
      </rPr>
      <t>D</t>
    </r>
    <r>
      <rPr>
        <vertAlign val="subscript"/>
        <sz val="10"/>
        <color theme="1"/>
        <rFont val="Arial"/>
        <family val="2"/>
      </rPr>
      <t>i</t>
    </r>
  </si>
  <si>
    <r>
      <t>Total deflection (</t>
    </r>
    <r>
      <rPr>
        <sz val="10"/>
        <color theme="1"/>
        <rFont val="Symbol"/>
        <family val="1"/>
        <charset val="2"/>
      </rPr>
      <t>D</t>
    </r>
    <r>
      <rPr>
        <vertAlign val="subscript"/>
        <sz val="10"/>
        <color theme="1"/>
        <rFont val="Arial"/>
        <family val="2"/>
      </rPr>
      <t>b,i</t>
    </r>
    <r>
      <rPr>
        <sz val="10"/>
        <color theme="1"/>
        <rFont val="Arial"/>
        <family val="2"/>
      </rPr>
      <t>+</t>
    </r>
    <r>
      <rPr>
        <sz val="10"/>
        <color theme="1"/>
        <rFont val="Symbol"/>
        <family val="1"/>
        <charset val="2"/>
      </rPr>
      <t>D</t>
    </r>
    <r>
      <rPr>
        <vertAlign val="subscript"/>
        <sz val="10"/>
        <color theme="1"/>
        <rFont val="Arial"/>
        <family val="2"/>
      </rPr>
      <t>s,i</t>
    </r>
    <r>
      <rPr>
        <sz val="10"/>
        <color theme="1"/>
        <rFont val="Arial"/>
        <family val="2"/>
      </rPr>
      <t>+</t>
    </r>
    <r>
      <rPr>
        <sz val="10"/>
        <color theme="1"/>
        <rFont val="Symbol"/>
        <family val="1"/>
        <charset val="2"/>
      </rPr>
      <t>D</t>
    </r>
    <r>
      <rPr>
        <vertAlign val="subscript"/>
        <sz val="10"/>
        <color theme="1"/>
        <rFont val="Arial"/>
        <family val="2"/>
      </rPr>
      <t>n,i</t>
    </r>
    <r>
      <rPr>
        <sz val="10"/>
        <color theme="1"/>
        <rFont val="Arial"/>
        <family val="2"/>
      </rPr>
      <t>+</t>
    </r>
    <r>
      <rPr>
        <sz val="10"/>
        <color theme="1"/>
        <rFont val="Symbol"/>
        <family val="1"/>
        <charset val="2"/>
      </rPr>
      <t>D</t>
    </r>
    <r>
      <rPr>
        <vertAlign val="subscript"/>
        <sz val="10"/>
        <color theme="1"/>
        <rFont val="Arial"/>
        <family val="2"/>
      </rPr>
      <t>a,i</t>
    </r>
    <r>
      <rPr>
        <sz val="10"/>
        <color theme="1"/>
        <rFont val="Arial"/>
        <family val="2"/>
      </rPr>
      <t>+</t>
    </r>
    <r>
      <rPr>
        <sz val="10"/>
        <color theme="1"/>
        <rFont val="Symbol"/>
        <family val="1"/>
        <charset val="2"/>
      </rPr>
      <t>D</t>
    </r>
    <r>
      <rPr>
        <vertAlign val="subscript"/>
        <sz val="10"/>
        <color theme="1"/>
        <rFont val="Arial"/>
        <family val="2"/>
      </rPr>
      <t>r,i</t>
    </r>
    <r>
      <rPr>
        <sz val="10"/>
        <color theme="1"/>
        <rFont val="Arial"/>
        <family val="2"/>
      </rPr>
      <t>)</t>
    </r>
  </si>
  <si>
    <r>
      <rPr>
        <b/>
        <sz val="10"/>
        <color theme="1"/>
        <rFont val="Symbol"/>
        <family val="1"/>
        <charset val="2"/>
      </rPr>
      <t>D</t>
    </r>
    <r>
      <rPr>
        <b/>
        <vertAlign val="subscript"/>
        <sz val="10"/>
        <color theme="1"/>
        <rFont val="Arial"/>
        <family val="2"/>
      </rPr>
      <t xml:space="preserve">n,I </t>
    </r>
    <r>
      <rPr>
        <b/>
        <sz val="10"/>
        <color theme="1"/>
        <rFont val="Arial"/>
        <family val="2"/>
      </rPr>
      <t>(mm)</t>
    </r>
  </si>
  <si>
    <r>
      <rPr>
        <b/>
        <sz val="10"/>
        <color theme="1"/>
        <rFont val="Symbol"/>
        <family val="1"/>
        <charset val="2"/>
      </rPr>
      <t>D</t>
    </r>
    <r>
      <rPr>
        <b/>
        <vertAlign val="subscript"/>
        <sz val="10"/>
        <color theme="1"/>
        <rFont val="Arial"/>
        <family val="2"/>
      </rPr>
      <t xml:space="preserve">r,I </t>
    </r>
    <r>
      <rPr>
        <b/>
        <sz val="10"/>
        <color theme="1"/>
        <rFont val="Arial"/>
        <family val="2"/>
      </rPr>
      <t>(mm)</t>
    </r>
  </si>
  <si>
    <t>1. Deflection due to bending</t>
  </si>
  <si>
    <r>
      <t>V</t>
    </r>
    <r>
      <rPr>
        <vertAlign val="subscript"/>
        <sz val="10"/>
        <color theme="1"/>
        <rFont val="Arial"/>
        <family val="2"/>
      </rPr>
      <t>i</t>
    </r>
  </si>
  <si>
    <t>Shear force of i-th storey</t>
  </si>
  <si>
    <r>
      <t>M</t>
    </r>
    <r>
      <rPr>
        <vertAlign val="subscript"/>
        <sz val="10"/>
        <color theme="1"/>
        <rFont val="Arial"/>
        <family val="2"/>
      </rPr>
      <t>i</t>
    </r>
  </si>
  <si>
    <t>Overturning moment at top of i-th storey</t>
  </si>
  <si>
    <r>
      <t>H</t>
    </r>
    <r>
      <rPr>
        <vertAlign val="subscript"/>
        <sz val="10"/>
        <color theme="1"/>
        <rFont val="Arial"/>
        <family val="2"/>
      </rPr>
      <t>i</t>
    </r>
  </si>
  <si>
    <t>Height of the shear wall of i-th storey</t>
  </si>
  <si>
    <r>
      <t>(EI)</t>
    </r>
    <r>
      <rPr>
        <vertAlign val="subscript"/>
        <sz val="10"/>
        <color theme="1"/>
        <rFont val="Arial"/>
        <family val="2"/>
      </rPr>
      <t>i</t>
    </r>
  </si>
  <si>
    <t>Bending stiffness of the shear wall of i-th storey</t>
  </si>
  <si>
    <t>n</t>
  </si>
  <si>
    <t xml:space="preserve">Total number of storeys of the building </t>
  </si>
  <si>
    <r>
      <t>V</t>
    </r>
    <r>
      <rPr>
        <b/>
        <vertAlign val="subscript"/>
        <sz val="10"/>
        <color theme="1"/>
        <rFont val="Arial"/>
        <family val="2"/>
      </rPr>
      <t>i</t>
    </r>
    <r>
      <rPr>
        <b/>
        <sz val="10"/>
        <color theme="1"/>
        <rFont val="Arial"/>
        <family val="2"/>
      </rPr>
      <t xml:space="preserve"> (N)</t>
    </r>
  </si>
  <si>
    <r>
      <t>H</t>
    </r>
    <r>
      <rPr>
        <b/>
        <vertAlign val="subscript"/>
        <sz val="10"/>
        <color theme="1"/>
        <rFont val="Arial"/>
        <family val="2"/>
      </rPr>
      <t>i</t>
    </r>
    <r>
      <rPr>
        <b/>
        <sz val="10"/>
        <color theme="1"/>
        <rFont val="Arial"/>
        <family val="2"/>
      </rPr>
      <t xml:space="preserve"> (mm)</t>
    </r>
  </si>
  <si>
    <r>
      <t>M</t>
    </r>
    <r>
      <rPr>
        <b/>
        <vertAlign val="subscript"/>
        <sz val="10"/>
        <color theme="1"/>
        <rFont val="Arial"/>
        <family val="2"/>
      </rPr>
      <t>i</t>
    </r>
    <r>
      <rPr>
        <b/>
        <sz val="10"/>
        <color theme="1"/>
        <rFont val="Arial"/>
        <family val="2"/>
      </rPr>
      <t xml:space="preserve"> (N-mm)</t>
    </r>
  </si>
  <si>
    <r>
      <t>(EI)</t>
    </r>
    <r>
      <rPr>
        <b/>
        <vertAlign val="subscript"/>
        <sz val="10"/>
        <color theme="1"/>
        <rFont val="Arial"/>
        <family val="2"/>
      </rPr>
      <t xml:space="preserve">i </t>
    </r>
    <r>
      <rPr>
        <b/>
        <sz val="10"/>
        <color theme="1"/>
        <rFont val="Arial"/>
        <family val="2"/>
      </rPr>
      <t>(N-mm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</si>
  <si>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E</t>
    </r>
    <r>
      <rPr>
        <b/>
        <vertAlign val="subscript"/>
        <sz val="10"/>
        <color theme="1"/>
        <rFont val="Arial"/>
        <family val="2"/>
      </rPr>
      <t xml:space="preserve">c </t>
    </r>
    <r>
      <rPr>
        <b/>
        <sz val="10"/>
        <color theme="1"/>
        <rFont val="Arial"/>
        <family val="2"/>
      </rPr>
      <t>(Mpa)</t>
    </r>
  </si>
  <si>
    <r>
      <t>E</t>
    </r>
    <r>
      <rPr>
        <b/>
        <vertAlign val="subscript"/>
        <sz val="10"/>
        <color theme="1"/>
        <rFont val="Arial"/>
        <family val="2"/>
      </rPr>
      <t xml:space="preserve">t </t>
    </r>
    <r>
      <rPr>
        <b/>
        <sz val="10"/>
        <color theme="1"/>
        <rFont val="Arial"/>
        <family val="2"/>
      </rPr>
      <t>(Mpa)</t>
    </r>
  </si>
  <si>
    <r>
      <t>A</t>
    </r>
    <r>
      <rPr>
        <b/>
        <vertAlign val="subscript"/>
        <sz val="10"/>
        <color theme="1"/>
        <rFont val="Arial"/>
        <family val="2"/>
      </rPr>
      <t xml:space="preserve">c </t>
    </r>
    <r>
      <rPr>
        <b/>
        <sz val="10"/>
        <color theme="1"/>
        <rFont val="Arial"/>
        <family val="2"/>
      </rPr>
      <t>(mm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</si>
  <si>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A</t>
    </r>
    <r>
      <rPr>
        <b/>
        <vertAlign val="subscript"/>
        <sz val="10"/>
        <color theme="1"/>
        <rFont val="Arial"/>
        <family val="2"/>
      </rPr>
      <t xml:space="preserve">t </t>
    </r>
    <r>
      <rPr>
        <b/>
        <sz val="10"/>
        <color theme="1"/>
        <rFont val="Arial"/>
        <family val="2"/>
      </rPr>
      <t>(mm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</si>
  <si>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n = E</t>
    </r>
    <r>
      <rPr>
        <b/>
        <vertAlign val="subscript"/>
        <sz val="10"/>
        <color theme="1"/>
        <rFont val="Arial"/>
        <family val="2"/>
      </rPr>
      <t>t</t>
    </r>
    <r>
      <rPr>
        <b/>
        <sz val="10"/>
        <color theme="1"/>
        <rFont val="Arial"/>
        <family val="2"/>
      </rPr>
      <t>/E</t>
    </r>
    <r>
      <rPr>
        <b/>
        <vertAlign val="subscript"/>
        <sz val="10"/>
        <color theme="1"/>
        <rFont val="Arial"/>
        <family val="2"/>
      </rPr>
      <t>c</t>
    </r>
  </si>
  <si>
    <r>
      <t>A</t>
    </r>
    <r>
      <rPr>
        <b/>
        <vertAlign val="subscript"/>
        <sz val="10"/>
        <color theme="1"/>
        <rFont val="Arial"/>
        <family val="2"/>
      </rPr>
      <t xml:space="preserve">t,tr </t>
    </r>
    <r>
      <rPr>
        <b/>
        <sz val="10"/>
        <color theme="1"/>
        <rFont val="Arial"/>
        <family val="2"/>
      </rPr>
      <t>(mm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</si>
  <si>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L</t>
    </r>
    <r>
      <rPr>
        <b/>
        <vertAlign val="subscript"/>
        <sz val="10"/>
        <color theme="1"/>
        <rFont val="Arial"/>
        <family val="2"/>
      </rPr>
      <t xml:space="preserve">c </t>
    </r>
    <r>
      <rPr>
        <b/>
        <sz val="10"/>
        <color theme="1"/>
        <rFont val="Arial"/>
        <family val="2"/>
      </rPr>
      <t>(mm)</t>
    </r>
  </si>
  <si>
    <r>
      <t>y</t>
    </r>
    <r>
      <rPr>
        <b/>
        <vertAlign val="subscript"/>
        <sz val="10"/>
        <color theme="1"/>
        <rFont val="Arial"/>
        <family val="2"/>
      </rPr>
      <t xml:space="preserve">tr </t>
    </r>
    <r>
      <rPr>
        <b/>
        <sz val="10"/>
        <color theme="1"/>
        <rFont val="Arial"/>
        <family val="2"/>
      </rPr>
      <t>(mm)</t>
    </r>
  </si>
  <si>
    <r>
      <t>I</t>
    </r>
    <r>
      <rPr>
        <b/>
        <vertAlign val="subscript"/>
        <sz val="10"/>
        <color theme="1"/>
        <rFont val="Arial"/>
        <family val="2"/>
      </rPr>
      <t xml:space="preserve">tr </t>
    </r>
    <r>
      <rPr>
        <b/>
        <sz val="10"/>
        <color theme="1"/>
        <rFont val="Arial"/>
        <family val="2"/>
      </rPr>
      <t>(mm</t>
    </r>
    <r>
      <rPr>
        <b/>
        <vertAlign val="superscript"/>
        <sz val="10"/>
        <color theme="1"/>
        <rFont val="Arial"/>
        <family val="2"/>
      </rPr>
      <t>4</t>
    </r>
    <r>
      <rPr>
        <b/>
        <sz val="10"/>
        <color theme="1"/>
        <rFont val="Arial"/>
        <family val="2"/>
      </rPr>
      <t>)</t>
    </r>
  </si>
  <si>
    <t>2. Deflection due to panel shear</t>
  </si>
  <si>
    <r>
      <t>L</t>
    </r>
    <r>
      <rPr>
        <vertAlign val="subscript"/>
        <sz val="10"/>
        <color theme="1"/>
        <rFont val="Arial"/>
        <family val="2"/>
      </rPr>
      <t>i</t>
    </r>
  </si>
  <si>
    <t>Length of the shear wall of i-th storey</t>
  </si>
  <si>
    <r>
      <t>B</t>
    </r>
    <r>
      <rPr>
        <vertAlign val="subscript"/>
        <sz val="10"/>
        <color theme="1"/>
        <rFont val="Arial"/>
        <family val="2"/>
      </rPr>
      <t>v,i</t>
    </r>
  </si>
  <si>
    <t>Shear-through-thickness rigidity of the sheathing of i-th storey</t>
  </si>
  <si>
    <t>Inter-storey deflection due topanel shear of the i-th storey</t>
  </si>
  <si>
    <r>
      <t>L</t>
    </r>
    <r>
      <rPr>
        <b/>
        <vertAlign val="subscript"/>
        <sz val="10"/>
        <color theme="1"/>
        <rFont val="Arial"/>
        <family val="2"/>
      </rPr>
      <t>i</t>
    </r>
    <r>
      <rPr>
        <b/>
        <sz val="10"/>
        <color theme="1"/>
        <rFont val="Arial"/>
        <family val="2"/>
      </rPr>
      <t xml:space="preserve"> (mm)</t>
    </r>
  </si>
  <si>
    <t>3. Deflection due to nail slip</t>
  </si>
  <si>
    <r>
      <t>e</t>
    </r>
    <r>
      <rPr>
        <vertAlign val="subscript"/>
        <sz val="10"/>
        <color theme="1"/>
        <rFont val="Arial"/>
        <family val="2"/>
      </rPr>
      <t>n,i-1</t>
    </r>
  </si>
  <si>
    <t>Nail deformation of i-th storey</t>
  </si>
  <si>
    <t>v (N/mm)</t>
  </si>
  <si>
    <r>
      <t>L</t>
    </r>
    <r>
      <rPr>
        <b/>
        <vertAlign val="subscript"/>
        <sz val="10"/>
        <color theme="1"/>
        <rFont val="Arial"/>
        <family val="2"/>
      </rPr>
      <t xml:space="preserve">i </t>
    </r>
    <r>
      <rPr>
        <b/>
        <sz val="10"/>
        <color theme="1"/>
        <rFont val="Arial"/>
        <family val="2"/>
      </rPr>
      <t>(mm)</t>
    </r>
  </si>
  <si>
    <r>
      <t>d</t>
    </r>
    <r>
      <rPr>
        <b/>
        <vertAlign val="subscript"/>
        <sz val="10"/>
        <color theme="1"/>
        <rFont val="Arial"/>
        <family val="2"/>
      </rPr>
      <t xml:space="preserve">F </t>
    </r>
    <r>
      <rPr>
        <b/>
        <sz val="10"/>
        <color theme="1"/>
        <rFont val="Arial"/>
        <family val="2"/>
      </rPr>
      <t>(mm)</t>
    </r>
  </si>
  <si>
    <t>4. Deflection due to vertical elongation of the wall anchorage system</t>
  </si>
  <si>
    <r>
      <t>d</t>
    </r>
    <r>
      <rPr>
        <vertAlign val="subscript"/>
        <sz val="10"/>
        <color theme="1"/>
        <rFont val="Arial"/>
        <family val="2"/>
      </rPr>
      <t>a,i</t>
    </r>
  </si>
  <si>
    <t>Total vertical elongation of the wall anchorage system of i-th storey</t>
  </si>
  <si>
    <r>
      <t>T</t>
    </r>
    <r>
      <rPr>
        <b/>
        <vertAlign val="subscript"/>
        <sz val="10"/>
        <color theme="1"/>
        <rFont val="Arial"/>
        <family val="2"/>
      </rPr>
      <t xml:space="preserve">f </t>
    </r>
    <r>
      <rPr>
        <b/>
        <sz val="10"/>
        <color theme="1"/>
        <rFont val="Arial"/>
        <family val="2"/>
      </rPr>
      <t>(kN)</t>
    </r>
  </si>
  <si>
    <r>
      <t>T</t>
    </r>
    <r>
      <rPr>
        <b/>
        <vertAlign val="subscript"/>
        <sz val="10"/>
        <color theme="1"/>
        <rFont val="Arial"/>
        <family val="2"/>
      </rPr>
      <t xml:space="preserve">r </t>
    </r>
    <r>
      <rPr>
        <b/>
        <sz val="10"/>
        <color theme="1"/>
        <rFont val="Arial"/>
        <family val="2"/>
      </rPr>
      <t>(KN)</t>
    </r>
  </si>
  <si>
    <r>
      <t>C</t>
    </r>
    <r>
      <rPr>
        <b/>
        <vertAlign val="subscript"/>
        <sz val="10"/>
        <color theme="1"/>
        <rFont val="Arial"/>
        <family val="2"/>
      </rPr>
      <t xml:space="preserve">f </t>
    </r>
    <r>
      <rPr>
        <b/>
        <sz val="10"/>
        <color theme="1"/>
        <rFont val="Arial"/>
        <family val="2"/>
      </rPr>
      <t>(kN)</t>
    </r>
  </si>
  <si>
    <r>
      <t>E</t>
    </r>
    <r>
      <rPr>
        <b/>
        <vertAlign val="subscript"/>
        <sz val="10"/>
        <color theme="1"/>
        <rFont val="Arial"/>
        <family val="2"/>
      </rPr>
      <t xml:space="preserve">c_perp </t>
    </r>
    <r>
      <rPr>
        <b/>
        <sz val="10"/>
        <color theme="1"/>
        <rFont val="Arial"/>
        <family val="2"/>
      </rPr>
      <t>(Mpa)</t>
    </r>
  </si>
  <si>
    <r>
      <t>A</t>
    </r>
    <r>
      <rPr>
        <b/>
        <vertAlign val="subscript"/>
        <sz val="10"/>
        <color theme="1"/>
        <rFont val="Arial"/>
        <family val="2"/>
      </rPr>
      <t xml:space="preserve">c_perp </t>
    </r>
    <r>
      <rPr>
        <b/>
        <sz val="10"/>
        <color theme="1"/>
        <rFont val="Arial"/>
        <family val="2"/>
      </rPr>
      <t>(mm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</si>
  <si>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L</t>
    </r>
    <r>
      <rPr>
        <b/>
        <vertAlign val="subscript"/>
        <sz val="10"/>
        <color theme="1"/>
        <rFont val="Arial"/>
        <family val="2"/>
      </rPr>
      <t xml:space="preserve">c_perp </t>
    </r>
    <r>
      <rPr>
        <b/>
        <sz val="10"/>
        <color theme="1"/>
        <rFont val="Arial"/>
        <family val="2"/>
      </rPr>
      <t>(mm)</t>
    </r>
  </si>
  <si>
    <t>5. Deflection due to rotation at the bottom of the wall</t>
  </si>
  <si>
    <r>
      <rPr>
        <sz val="10"/>
        <color theme="1"/>
        <rFont val="Calibri"/>
        <family val="2"/>
      </rPr>
      <t>θ</t>
    </r>
    <r>
      <rPr>
        <vertAlign val="subscript"/>
        <sz val="10"/>
        <color theme="1"/>
        <rFont val="Arial"/>
        <family val="2"/>
      </rPr>
      <t>j</t>
    </r>
  </si>
  <si>
    <t xml:space="preserve">Cumulative rotation due to bending </t>
  </si>
  <si>
    <r>
      <rPr>
        <sz val="10"/>
        <color theme="1"/>
        <rFont val="Symbol"/>
        <family val="1"/>
        <charset val="2"/>
      </rPr>
      <t>a</t>
    </r>
    <r>
      <rPr>
        <vertAlign val="subscript"/>
        <sz val="10"/>
        <color theme="1"/>
        <rFont val="Arial"/>
        <family val="2"/>
      </rPr>
      <t>j</t>
    </r>
  </si>
  <si>
    <t>Cumulative rotation due to wall anchorage system elongation</t>
  </si>
  <si>
    <r>
      <t>H</t>
    </r>
    <r>
      <rPr>
        <b/>
        <vertAlign val="subscript"/>
        <sz val="10"/>
        <color theme="1"/>
        <rFont val="Arial"/>
        <family val="2"/>
      </rPr>
      <t xml:space="preserve">i </t>
    </r>
    <r>
      <rPr>
        <b/>
        <sz val="10"/>
        <color theme="1"/>
        <rFont val="Arial"/>
        <family val="2"/>
      </rPr>
      <t>(mm)</t>
    </r>
  </si>
  <si>
    <t>q</t>
  </si>
  <si>
    <r>
      <t>d</t>
    </r>
    <r>
      <rPr>
        <b/>
        <vertAlign val="subscript"/>
        <sz val="10"/>
        <color theme="1"/>
        <rFont val="Arial"/>
        <family val="2"/>
      </rPr>
      <t>a</t>
    </r>
    <r>
      <rPr>
        <b/>
        <sz val="10"/>
        <color theme="1"/>
        <rFont val="Arial"/>
        <family val="2"/>
      </rPr>
      <t>/L</t>
    </r>
    <r>
      <rPr>
        <b/>
        <vertAlign val="subscript"/>
        <sz val="10"/>
        <color theme="1"/>
        <rFont val="Arial"/>
        <family val="2"/>
      </rPr>
      <t>s</t>
    </r>
  </si>
  <si>
    <t xml:space="preserve">6. Fundamental period of the wall </t>
  </si>
  <si>
    <t xml:space="preserve">   </t>
  </si>
  <si>
    <r>
      <t>w</t>
    </r>
    <r>
      <rPr>
        <b/>
        <vertAlign val="subscript"/>
        <sz val="10"/>
        <color theme="1"/>
        <rFont val="Arial"/>
        <family val="2"/>
      </rPr>
      <t>i</t>
    </r>
    <r>
      <rPr>
        <b/>
        <sz val="10"/>
        <color theme="1"/>
        <rFont val="Arial"/>
        <family val="2"/>
      </rPr>
      <t xml:space="preserve"> (kN)</t>
    </r>
  </si>
  <si>
    <r>
      <t>F</t>
    </r>
    <r>
      <rPr>
        <b/>
        <vertAlign val="subscript"/>
        <sz val="10"/>
        <color theme="1"/>
        <rFont val="Arial"/>
        <family val="2"/>
      </rPr>
      <t>i</t>
    </r>
    <r>
      <rPr>
        <b/>
        <sz val="10"/>
        <color theme="1"/>
        <rFont val="Arial"/>
        <family val="2"/>
      </rPr>
      <t xml:space="preserve"> (kN)</t>
    </r>
  </si>
  <si>
    <r>
      <rPr>
        <b/>
        <sz val="11"/>
        <color theme="1"/>
        <rFont val="Symbol"/>
        <family val="1"/>
        <charset val="2"/>
      </rPr>
      <t>D</t>
    </r>
    <r>
      <rPr>
        <b/>
        <vertAlign val="subscript"/>
        <sz val="11"/>
        <color theme="1"/>
        <rFont val="Arial"/>
        <family val="2"/>
      </rPr>
      <t xml:space="preserve">i </t>
    </r>
    <r>
      <rPr>
        <b/>
        <sz val="11"/>
        <color theme="1"/>
        <rFont val="Arial"/>
        <family val="2"/>
      </rPr>
      <t>(mm)</t>
    </r>
  </si>
  <si>
    <r>
      <t>w</t>
    </r>
    <r>
      <rPr>
        <b/>
        <vertAlign val="subscript"/>
        <sz val="10"/>
        <color theme="1"/>
        <rFont val="Arial"/>
        <family val="2"/>
      </rPr>
      <t xml:space="preserve">i </t>
    </r>
    <r>
      <rPr>
        <b/>
        <sz val="10"/>
        <color theme="1"/>
        <rFont val="Arial"/>
        <family val="2"/>
      </rPr>
      <t xml:space="preserve">x </t>
    </r>
    <r>
      <rPr>
        <b/>
        <sz val="10"/>
        <color theme="1"/>
        <rFont val="Symbol"/>
        <family val="1"/>
        <charset val="2"/>
      </rPr>
      <t>D</t>
    </r>
    <r>
      <rPr>
        <b/>
        <vertAlign val="subscript"/>
        <sz val="10"/>
        <color theme="1"/>
        <rFont val="Arial"/>
        <family val="2"/>
      </rPr>
      <t>i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(kN-mm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</si>
  <si>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F</t>
    </r>
    <r>
      <rPr>
        <b/>
        <vertAlign val="subscript"/>
        <sz val="10"/>
        <color theme="1"/>
        <rFont val="Arial"/>
        <family val="2"/>
      </rPr>
      <t xml:space="preserve">i </t>
    </r>
    <r>
      <rPr>
        <b/>
        <sz val="10"/>
        <color theme="1"/>
        <rFont val="Arial"/>
        <family val="2"/>
      </rPr>
      <t xml:space="preserve">x </t>
    </r>
    <r>
      <rPr>
        <b/>
        <sz val="10"/>
        <color theme="1"/>
        <rFont val="Symbol"/>
        <family val="1"/>
        <charset val="2"/>
      </rPr>
      <t>D</t>
    </r>
    <r>
      <rPr>
        <b/>
        <vertAlign val="subscript"/>
        <sz val="10"/>
        <color theme="1"/>
        <rFont val="Arial"/>
        <family val="2"/>
      </rPr>
      <t>i</t>
    </r>
    <r>
      <rPr>
        <b/>
        <sz val="10"/>
        <color theme="1"/>
        <rFont val="Arial"/>
        <family val="2"/>
      </rPr>
      <t xml:space="preserve">       (kN-mm)</t>
    </r>
  </si>
  <si>
    <t>T (sec)</t>
  </si>
  <si>
    <r>
      <t>7. Wall stiffness (k</t>
    </r>
    <r>
      <rPr>
        <b/>
        <vertAlign val="subscript"/>
        <sz val="10"/>
        <color theme="1"/>
        <rFont val="Arial"/>
        <family val="2"/>
      </rPr>
      <t>i</t>
    </r>
    <r>
      <rPr>
        <b/>
        <sz val="10"/>
        <color theme="1"/>
        <rFont val="Arial"/>
        <family val="2"/>
      </rPr>
      <t>) calculation</t>
    </r>
  </si>
  <si>
    <t>E (Mpa)</t>
  </si>
  <si>
    <r>
      <t>A (mm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</si>
  <si>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L</t>
    </r>
    <r>
      <rPr>
        <b/>
        <vertAlign val="subscript"/>
        <sz val="10"/>
        <color theme="1"/>
        <rFont val="Arial"/>
        <family val="2"/>
      </rPr>
      <t>s</t>
    </r>
    <r>
      <rPr>
        <b/>
        <sz val="10"/>
        <color theme="1"/>
        <rFont val="Arial"/>
        <family val="2"/>
      </rPr>
      <t xml:space="preserve"> (mm)</t>
    </r>
  </si>
  <si>
    <r>
      <t>B</t>
    </r>
    <r>
      <rPr>
        <b/>
        <vertAlign val="subscript"/>
        <sz val="10"/>
        <color theme="1"/>
        <rFont val="Arial"/>
        <family val="2"/>
      </rPr>
      <t xml:space="preserve">v </t>
    </r>
    <r>
      <rPr>
        <b/>
        <sz val="10"/>
        <color theme="1"/>
        <rFont val="Arial"/>
        <family val="2"/>
      </rPr>
      <t>(N/mm)</t>
    </r>
  </si>
  <si>
    <r>
      <t>d</t>
    </r>
    <r>
      <rPr>
        <b/>
        <vertAlign val="subscript"/>
        <sz val="10"/>
        <color theme="1"/>
        <rFont val="Arial"/>
        <family val="2"/>
      </rPr>
      <t>a</t>
    </r>
    <r>
      <rPr>
        <b/>
        <sz val="10"/>
        <color theme="1"/>
        <rFont val="Arial"/>
        <family val="2"/>
      </rPr>
      <t xml:space="preserve"> (mm)</t>
    </r>
  </si>
  <si>
    <r>
      <t>k</t>
    </r>
    <r>
      <rPr>
        <b/>
        <sz val="10"/>
        <color theme="1"/>
        <rFont val="Arial"/>
        <family val="2"/>
      </rPr>
      <t xml:space="preserve"> (kN/m)</t>
    </r>
  </si>
  <si>
    <r>
      <t>k</t>
    </r>
    <r>
      <rPr>
        <b/>
        <i/>
        <vertAlign val="subscript"/>
        <sz val="10"/>
        <color theme="1"/>
        <rFont val="Arial"/>
        <family val="2"/>
      </rPr>
      <t>avg</t>
    </r>
    <r>
      <rPr>
        <b/>
        <sz val="10"/>
        <color theme="1"/>
        <rFont val="Arial"/>
        <family val="2"/>
      </rPr>
      <t xml:space="preserve"> (kN/m)</t>
    </r>
  </si>
  <si>
    <t>Load Case to be used</t>
  </si>
  <si>
    <t>Design Summary Table</t>
  </si>
  <si>
    <t>Project:</t>
  </si>
  <si>
    <t>1160 Cameron Avenue</t>
  </si>
  <si>
    <t>Job No.:</t>
  </si>
  <si>
    <t>KEL.137728.0001</t>
  </si>
  <si>
    <t>Designer:</t>
  </si>
  <si>
    <t>Date:</t>
  </si>
  <si>
    <t>Building geometry</t>
  </si>
  <si>
    <t>L</t>
  </si>
  <si>
    <t>Longest dimension of the building</t>
  </si>
  <si>
    <t>m</t>
  </si>
  <si>
    <t xml:space="preserve">B </t>
  </si>
  <si>
    <t xml:space="preserve">Shortest dimension of the building </t>
  </si>
  <si>
    <t>NS6</t>
  </si>
  <si>
    <t>NS7</t>
  </si>
  <si>
    <r>
      <t>X</t>
    </r>
    <r>
      <rPr>
        <vertAlign val="subscript"/>
        <sz val="10"/>
        <color theme="1"/>
        <rFont val="Arial"/>
        <family val="2"/>
      </rPr>
      <t>cm</t>
    </r>
  </si>
  <si>
    <t>Distance from origin to CoM in x direction</t>
  </si>
  <si>
    <t>NS8</t>
  </si>
  <si>
    <r>
      <t>Y</t>
    </r>
    <r>
      <rPr>
        <vertAlign val="subscript"/>
        <sz val="10"/>
        <color theme="1"/>
        <rFont val="Arial"/>
        <family val="2"/>
      </rPr>
      <t>cm</t>
    </r>
  </si>
  <si>
    <t>Distance from origin to CoM in y direction</t>
  </si>
  <si>
    <t>NS9</t>
  </si>
  <si>
    <t>NS10</t>
  </si>
  <si>
    <r>
      <t>X</t>
    </r>
    <r>
      <rPr>
        <vertAlign val="subscript"/>
        <sz val="10"/>
        <color theme="1"/>
        <rFont val="Arial"/>
        <family val="2"/>
      </rPr>
      <t>cr</t>
    </r>
  </si>
  <si>
    <t>Distance from origin to CoR in x direction</t>
  </si>
  <si>
    <t>NS11</t>
  </si>
  <si>
    <r>
      <t>Y</t>
    </r>
    <r>
      <rPr>
        <vertAlign val="subscript"/>
        <sz val="10"/>
        <color theme="1"/>
        <rFont val="Arial"/>
        <family val="2"/>
      </rPr>
      <t>cr</t>
    </r>
  </si>
  <si>
    <t>Distance from origin to CoR in y direction</t>
  </si>
  <si>
    <t>NS12</t>
  </si>
  <si>
    <t>NS13</t>
  </si>
  <si>
    <t>NS14</t>
  </si>
  <si>
    <t>NS15</t>
  </si>
  <si>
    <t>NS16</t>
  </si>
  <si>
    <t>NS17</t>
  </si>
  <si>
    <t>W</t>
  </si>
  <si>
    <t>kN</t>
  </si>
  <si>
    <t>NS18</t>
  </si>
  <si>
    <t>NS19</t>
  </si>
  <si>
    <t>NS20</t>
  </si>
  <si>
    <t>Length (m)</t>
  </si>
  <si>
    <t>Height (m)</t>
  </si>
  <si>
    <t>EW1</t>
  </si>
  <si>
    <t>NS2</t>
  </si>
  <si>
    <t>EW2</t>
  </si>
  <si>
    <t>NS3</t>
  </si>
  <si>
    <t>EW3</t>
  </si>
  <si>
    <t>NS4</t>
  </si>
  <si>
    <t>EW4</t>
  </si>
  <si>
    <t>NS5</t>
  </si>
  <si>
    <t>EW5</t>
  </si>
  <si>
    <t>EW6</t>
  </si>
  <si>
    <t>EW7</t>
  </si>
  <si>
    <t>EW8</t>
  </si>
  <si>
    <t>EW9</t>
  </si>
  <si>
    <t>EW10</t>
  </si>
  <si>
    <t>EW11</t>
  </si>
  <si>
    <t>EW12</t>
  </si>
  <si>
    <t>EW13</t>
  </si>
  <si>
    <t>EW14</t>
  </si>
  <si>
    <t>EW15</t>
  </si>
  <si>
    <t>EW16</t>
  </si>
  <si>
    <t>EW17</t>
  </si>
  <si>
    <t>NS1_one</t>
  </si>
  <si>
    <r>
      <t>T</t>
    </r>
    <r>
      <rPr>
        <b/>
        <vertAlign val="subscript"/>
        <sz val="10"/>
        <color theme="1"/>
        <rFont val="Arial"/>
        <family val="2"/>
      </rPr>
      <t>f</t>
    </r>
    <r>
      <rPr>
        <b/>
        <sz val="10"/>
        <color theme="1"/>
        <rFont val="Arial"/>
        <family val="2"/>
      </rPr>
      <t xml:space="preserve"> (kN)</t>
    </r>
  </si>
  <si>
    <r>
      <t>C</t>
    </r>
    <r>
      <rPr>
        <b/>
        <vertAlign val="subscript"/>
        <sz val="10"/>
        <color theme="1"/>
        <rFont val="Arial"/>
        <family val="2"/>
      </rPr>
      <t>f</t>
    </r>
    <r>
      <rPr>
        <b/>
        <sz val="10"/>
        <color theme="1"/>
        <rFont val="Arial"/>
        <family val="2"/>
      </rPr>
      <t xml:space="preserve"> (kN)</t>
    </r>
  </si>
  <si>
    <t>ACH</t>
  </si>
  <si>
    <t>Manual diaphragm entry</t>
  </si>
  <si>
    <r>
      <t>X</t>
    </r>
    <r>
      <rPr>
        <vertAlign val="subscript"/>
        <sz val="10"/>
        <color theme="1"/>
        <rFont val="Arial"/>
        <family val="2"/>
      </rPr>
      <t>cm (Manual)</t>
    </r>
  </si>
  <si>
    <r>
      <t>Y</t>
    </r>
    <r>
      <rPr>
        <vertAlign val="subscript"/>
        <sz val="10"/>
        <color theme="1"/>
        <rFont val="Arial"/>
        <family val="2"/>
      </rPr>
      <t>cm (Manual)</t>
    </r>
  </si>
  <si>
    <r>
      <t>X</t>
    </r>
    <r>
      <rPr>
        <vertAlign val="subscript"/>
        <sz val="10"/>
        <color theme="1"/>
        <rFont val="Arial"/>
        <family val="2"/>
      </rPr>
      <t>_paper_offset</t>
    </r>
  </si>
  <si>
    <t>X origin from paper</t>
  </si>
  <si>
    <t>Y_paper_offset</t>
  </si>
  <si>
    <t>Y origin from paper</t>
  </si>
  <si>
    <t>Wall Name</t>
  </si>
  <si>
    <t>x_coord (m)</t>
  </si>
  <si>
    <t>y-coord (m)</t>
  </si>
  <si>
    <t>Diapgragm geometry</t>
  </si>
  <si>
    <t>Diaphragm Weight (D+0.25S)</t>
  </si>
  <si>
    <t>Output Summary</t>
  </si>
  <si>
    <t>ex</t>
  </si>
  <si>
    <t>Eccentriity due to the difference in CoM and CoR</t>
  </si>
  <si>
    <t>ey</t>
  </si>
  <si>
    <r>
      <t>ex</t>
    </r>
    <r>
      <rPr>
        <vertAlign val="subscript"/>
        <sz val="10"/>
        <color theme="1"/>
        <rFont val="Arial"/>
        <family val="2"/>
      </rPr>
      <t>bar</t>
    </r>
  </si>
  <si>
    <r>
      <t>ey</t>
    </r>
    <r>
      <rPr>
        <vertAlign val="subscript"/>
        <sz val="10"/>
        <color theme="1"/>
        <rFont val="Arial"/>
        <family val="2"/>
      </rPr>
      <t>bar</t>
    </r>
  </si>
  <si>
    <t>Wall Data</t>
  </si>
  <si>
    <t>Center of Mass (CoM)</t>
  </si>
  <si>
    <t>Center of Rigidity (CoR)</t>
  </si>
  <si>
    <r>
      <t xml:space="preserve"> J</t>
    </r>
    <r>
      <rPr>
        <b/>
        <vertAlign val="subscript"/>
        <sz val="11"/>
        <color theme="1"/>
        <rFont val="Arial"/>
        <family val="2"/>
      </rPr>
      <t>p</t>
    </r>
  </si>
  <si>
    <t>Shear from Torsion Caused By Real Ecc</t>
  </si>
  <si>
    <t>Direct Shear Due to Force Applied</t>
  </si>
  <si>
    <t>Shear from Torsion Caused by Acc 10% Ecc</t>
  </si>
  <si>
    <t>Total Shear</t>
  </si>
  <si>
    <t>w_k (kN)</t>
  </si>
  <si>
    <t>y_coord (m)</t>
  </si>
  <si>
    <r>
      <t>x</t>
    </r>
    <r>
      <rPr>
        <b/>
        <vertAlign val="subscript"/>
        <sz val="10"/>
        <color theme="1"/>
        <rFont val="Arial"/>
        <family val="2"/>
      </rPr>
      <t xml:space="preserve">k </t>
    </r>
    <r>
      <rPr>
        <b/>
        <sz val="10"/>
        <color theme="1"/>
        <rFont val="Arial"/>
        <family val="2"/>
      </rPr>
      <t>(m)</t>
    </r>
  </si>
  <si>
    <r>
      <t>y</t>
    </r>
    <r>
      <rPr>
        <b/>
        <vertAlign val="subscript"/>
        <sz val="11"/>
        <color theme="1"/>
        <rFont val="Arial"/>
        <family val="2"/>
      </rPr>
      <t xml:space="preserve">k </t>
    </r>
    <r>
      <rPr>
        <b/>
        <sz val="11"/>
        <color theme="1"/>
        <rFont val="Arial"/>
        <family val="2"/>
      </rPr>
      <t>(m)</t>
    </r>
  </si>
  <si>
    <r>
      <t>w</t>
    </r>
    <r>
      <rPr>
        <b/>
        <vertAlign val="subscript"/>
        <sz val="11"/>
        <color theme="1"/>
        <rFont val="Arial"/>
        <family val="2"/>
      </rPr>
      <t>k</t>
    </r>
    <r>
      <rPr>
        <b/>
        <sz val="11"/>
        <color theme="1"/>
        <rFont val="Arial"/>
        <family val="2"/>
      </rPr>
      <t>*x</t>
    </r>
    <r>
      <rPr>
        <b/>
        <vertAlign val="subscript"/>
        <sz val="11"/>
        <color theme="1"/>
        <rFont val="Arial"/>
        <family val="2"/>
      </rPr>
      <t>k</t>
    </r>
  </si>
  <si>
    <r>
      <t>w</t>
    </r>
    <r>
      <rPr>
        <b/>
        <vertAlign val="subscript"/>
        <sz val="11"/>
        <color theme="1"/>
        <rFont val="Arial"/>
        <family val="2"/>
      </rPr>
      <t>k</t>
    </r>
    <r>
      <rPr>
        <b/>
        <sz val="11"/>
        <color theme="1"/>
        <rFont val="Arial"/>
        <family val="2"/>
      </rPr>
      <t>*y</t>
    </r>
    <r>
      <rPr>
        <b/>
        <vertAlign val="subscript"/>
        <sz val="11"/>
        <color theme="1"/>
        <rFont val="Arial"/>
        <family val="2"/>
      </rPr>
      <t>k</t>
    </r>
  </si>
  <si>
    <r>
      <rPr>
        <b/>
        <sz val="11"/>
        <color theme="1"/>
        <rFont val="Symbol"/>
        <family val="1"/>
        <charset val="2"/>
      </rPr>
      <t>D</t>
    </r>
    <r>
      <rPr>
        <b/>
        <vertAlign val="subscript"/>
        <sz val="11"/>
        <color theme="1"/>
        <rFont val="Arial"/>
        <family val="2"/>
      </rPr>
      <t>i</t>
    </r>
  </si>
  <si>
    <r>
      <t>R</t>
    </r>
    <r>
      <rPr>
        <b/>
        <vertAlign val="subscript"/>
        <sz val="11"/>
        <color theme="1"/>
        <rFont val="Arial"/>
        <family val="2"/>
      </rPr>
      <t>ix</t>
    </r>
  </si>
  <si>
    <r>
      <t>R</t>
    </r>
    <r>
      <rPr>
        <b/>
        <vertAlign val="subscript"/>
        <sz val="11"/>
        <color theme="1"/>
        <rFont val="Arial"/>
        <family val="2"/>
      </rPr>
      <t>iy</t>
    </r>
  </si>
  <si>
    <r>
      <t>R</t>
    </r>
    <r>
      <rPr>
        <b/>
        <vertAlign val="subscript"/>
        <sz val="11"/>
        <color theme="1"/>
        <rFont val="Arial"/>
        <family val="2"/>
      </rPr>
      <t>iy</t>
    </r>
    <r>
      <rPr>
        <b/>
        <sz val="11"/>
        <color theme="1"/>
        <rFont val="Arial"/>
        <family val="2"/>
      </rPr>
      <t>*x</t>
    </r>
    <r>
      <rPr>
        <b/>
        <vertAlign val="subscript"/>
        <sz val="11"/>
        <color theme="1"/>
        <rFont val="Arial"/>
        <family val="2"/>
      </rPr>
      <t>k</t>
    </r>
  </si>
  <si>
    <r>
      <t>R</t>
    </r>
    <r>
      <rPr>
        <b/>
        <vertAlign val="subscript"/>
        <sz val="11"/>
        <color theme="1"/>
        <rFont val="Arial"/>
        <family val="2"/>
      </rPr>
      <t>ix</t>
    </r>
    <r>
      <rPr>
        <b/>
        <sz val="11"/>
        <color theme="1"/>
        <rFont val="Arial"/>
        <family val="2"/>
      </rPr>
      <t>*y</t>
    </r>
    <r>
      <rPr>
        <b/>
        <vertAlign val="subscript"/>
        <sz val="11"/>
        <color theme="1"/>
        <rFont val="Arial"/>
        <family val="2"/>
      </rPr>
      <t>k</t>
    </r>
  </si>
  <si>
    <r>
      <t>x</t>
    </r>
    <r>
      <rPr>
        <b/>
        <vertAlign val="subscript"/>
        <sz val="11"/>
        <color theme="1"/>
        <rFont val="Arial"/>
        <family val="2"/>
      </rPr>
      <t>bar</t>
    </r>
  </si>
  <si>
    <r>
      <t>y</t>
    </r>
    <r>
      <rPr>
        <b/>
        <vertAlign val="subscript"/>
        <sz val="11"/>
        <color theme="1"/>
        <rFont val="Arial"/>
        <family val="2"/>
      </rPr>
      <t>bar</t>
    </r>
  </si>
  <si>
    <r>
      <t>R</t>
    </r>
    <r>
      <rPr>
        <b/>
        <vertAlign val="subscript"/>
        <sz val="11"/>
        <color theme="1"/>
        <rFont val="Arial"/>
        <family val="2"/>
      </rPr>
      <t>iy</t>
    </r>
    <r>
      <rPr>
        <b/>
        <sz val="11"/>
        <color theme="1"/>
        <rFont val="Arial"/>
        <family val="2"/>
      </rPr>
      <t>*x</t>
    </r>
    <r>
      <rPr>
        <b/>
        <vertAlign val="subscript"/>
        <sz val="11"/>
        <color theme="1"/>
        <rFont val="Arial"/>
        <family val="2"/>
      </rPr>
      <t>bar</t>
    </r>
    <r>
      <rPr>
        <b/>
        <vertAlign val="superscript"/>
        <sz val="11"/>
        <color theme="1"/>
        <rFont val="Arial"/>
        <family val="2"/>
      </rPr>
      <t>2</t>
    </r>
  </si>
  <si>
    <r>
      <t>R</t>
    </r>
    <r>
      <rPr>
        <b/>
        <vertAlign val="subscript"/>
        <sz val="11"/>
        <color theme="1"/>
        <rFont val="Arial"/>
        <family val="2"/>
      </rPr>
      <t>ix</t>
    </r>
    <r>
      <rPr>
        <b/>
        <sz val="11"/>
        <color theme="1"/>
        <rFont val="Arial"/>
        <family val="2"/>
      </rPr>
      <t>*y</t>
    </r>
    <r>
      <rPr>
        <b/>
        <vertAlign val="subscript"/>
        <sz val="11"/>
        <color theme="1"/>
        <rFont val="Arial"/>
        <family val="2"/>
      </rPr>
      <t>bar</t>
    </r>
    <r>
      <rPr>
        <b/>
        <vertAlign val="superscript"/>
        <sz val="11"/>
        <color theme="1"/>
        <rFont val="Arial"/>
        <family val="2"/>
      </rPr>
      <t>2</t>
    </r>
  </si>
  <si>
    <t>Real Tor Ratio_x</t>
  </si>
  <si>
    <t>Real Tor Ratio_y</t>
  </si>
  <si>
    <t>Vx_Real Tor</t>
  </si>
  <si>
    <t>Vy_Real Tor</t>
  </si>
  <si>
    <t>Direct Shear Ratio_x</t>
  </si>
  <si>
    <t>Direct Shear Ratio_y</t>
  </si>
  <si>
    <t>Direct Shear_x</t>
  </si>
  <si>
    <t>Direct Shear_y</t>
  </si>
  <si>
    <t>AccTorRatio_x</t>
  </si>
  <si>
    <t>AccTorRatio_y</t>
  </si>
  <si>
    <t>Vx_Acc_Tor</t>
  </si>
  <si>
    <t>Vy_Acc-Tor</t>
  </si>
  <si>
    <r>
      <t>V</t>
    </r>
    <r>
      <rPr>
        <b/>
        <vertAlign val="subscript"/>
        <sz val="11"/>
        <color theme="1"/>
        <rFont val="Arial"/>
        <family val="2"/>
      </rPr>
      <t>x</t>
    </r>
    <r>
      <rPr>
        <b/>
        <sz val="11"/>
        <color theme="1"/>
        <rFont val="Arial"/>
        <family val="2"/>
      </rPr>
      <t xml:space="preserve"> (kN)</t>
    </r>
  </si>
  <si>
    <r>
      <t>V</t>
    </r>
    <r>
      <rPr>
        <b/>
        <vertAlign val="subscript"/>
        <sz val="11"/>
        <color theme="1"/>
        <rFont val="Arial"/>
        <family val="2"/>
      </rPr>
      <t>y</t>
    </r>
    <r>
      <rPr>
        <b/>
        <sz val="11"/>
        <color theme="1"/>
        <rFont val="Arial"/>
        <family val="2"/>
      </rPr>
      <t xml:space="preserve"> (kN)</t>
    </r>
  </si>
  <si>
    <t>Jp</t>
  </si>
  <si>
    <t>North-South Wall Data</t>
  </si>
  <si>
    <t>East-West Wall Data</t>
  </si>
  <si>
    <t>Floor Level</t>
  </si>
  <si>
    <t>Seismic Load (kN)</t>
  </si>
  <si>
    <t>Wind Load (kN)</t>
  </si>
  <si>
    <t>N</t>
  </si>
  <si>
    <t>Number of SW storey</t>
  </si>
  <si>
    <t>Wind Load_Short_Face (kN)</t>
  </si>
  <si>
    <t>Wind/Seismic  in x-direction</t>
  </si>
  <si>
    <t>Wind/Seismic  in y-direction</t>
  </si>
  <si>
    <r>
      <t>F</t>
    </r>
    <r>
      <rPr>
        <vertAlign val="subscript"/>
        <sz val="10"/>
        <color theme="1"/>
        <rFont val="Arial"/>
        <family val="2"/>
      </rPr>
      <t>_x_dir</t>
    </r>
  </si>
  <si>
    <r>
      <t>F</t>
    </r>
    <r>
      <rPr>
        <vertAlign val="subscript"/>
        <sz val="10"/>
        <color theme="1"/>
        <rFont val="Arial"/>
        <family val="2"/>
      </rPr>
      <t>_y_dir</t>
    </r>
  </si>
  <si>
    <t>Governing Load:</t>
  </si>
  <si>
    <t>EW18</t>
  </si>
  <si>
    <t>EW19</t>
  </si>
  <si>
    <t>EW20</t>
  </si>
  <si>
    <t xml:space="preserve">NS1 </t>
  </si>
  <si>
    <t>Drawing scale</t>
  </si>
  <si>
    <t>1:100</t>
  </si>
  <si>
    <t>Scale factor for fdf file</t>
  </si>
  <si>
    <t>fdf file Location</t>
  </si>
  <si>
    <t>Used FDF file: H:/Import Module/For Jared 20250610/L5 to L6 Wall Plan.fdf</t>
  </si>
  <si>
    <t xml:space="preserve">Malaspina </t>
  </si>
  <si>
    <t>VAN.131954.0001</t>
  </si>
  <si>
    <t>No of SW story</t>
  </si>
  <si>
    <t>Additional design parameters used</t>
  </si>
  <si>
    <r>
      <t>t</t>
    </r>
    <r>
      <rPr>
        <b/>
        <vertAlign val="subscript"/>
        <sz val="10"/>
        <color theme="1"/>
        <rFont val="Arial"/>
        <family val="2"/>
      </rPr>
      <t xml:space="preserve">2 </t>
    </r>
    <r>
      <rPr>
        <b/>
        <sz val="10"/>
        <color theme="1"/>
        <rFont val="Arial"/>
        <family val="2"/>
      </rPr>
      <t>(mm)</t>
    </r>
  </si>
  <si>
    <t>a (mm)</t>
  </si>
  <si>
    <t>b (mm)</t>
  </si>
  <si>
    <r>
      <t>K</t>
    </r>
    <r>
      <rPr>
        <b/>
        <vertAlign val="subscript"/>
        <sz val="10"/>
        <color theme="1"/>
        <rFont val="Arial"/>
        <family val="2"/>
      </rPr>
      <t>SF</t>
    </r>
  </si>
  <si>
    <r>
      <t>K</t>
    </r>
    <r>
      <rPr>
        <b/>
        <vertAlign val="subscript"/>
        <sz val="10"/>
        <color theme="1"/>
        <rFont val="Arial"/>
        <family val="2"/>
      </rPr>
      <t xml:space="preserve">S </t>
    </r>
  </si>
  <si>
    <r>
      <t>J</t>
    </r>
    <r>
      <rPr>
        <b/>
        <vertAlign val="subscript"/>
        <sz val="10"/>
        <color theme="1"/>
        <rFont val="Arial"/>
        <family val="2"/>
      </rPr>
      <t>x</t>
    </r>
  </si>
  <si>
    <t>G</t>
  </si>
  <si>
    <r>
      <t>G</t>
    </r>
    <r>
      <rPr>
        <b/>
        <vertAlign val="subscript"/>
        <sz val="11"/>
        <color theme="1"/>
        <rFont val="Arial"/>
        <family val="2"/>
      </rPr>
      <t>f3</t>
    </r>
  </si>
  <si>
    <t>Stud Species</t>
  </si>
  <si>
    <t>Grade</t>
  </si>
  <si>
    <r>
      <t>E</t>
    </r>
    <r>
      <rPr>
        <b/>
        <vertAlign val="subscript"/>
        <sz val="11"/>
        <color theme="1"/>
        <rFont val="Arial"/>
        <family val="2"/>
      </rPr>
      <t>c_par</t>
    </r>
  </si>
  <si>
    <r>
      <t>E</t>
    </r>
    <r>
      <rPr>
        <b/>
        <vertAlign val="subscript"/>
        <sz val="11"/>
        <color theme="1"/>
        <rFont val="Arial"/>
        <family val="2"/>
      </rPr>
      <t>c_perp</t>
    </r>
  </si>
  <si>
    <r>
      <t>E</t>
    </r>
    <r>
      <rPr>
        <b/>
        <vertAlign val="subscript"/>
        <sz val="11"/>
        <color theme="1"/>
        <rFont val="Arial"/>
        <family val="2"/>
      </rPr>
      <t>t</t>
    </r>
  </si>
  <si>
    <t>Ac</t>
  </si>
  <si>
    <t>Tiedown system</t>
  </si>
  <si>
    <t>Takeup device</t>
  </si>
  <si>
    <t xml:space="preserve">Sill Plate </t>
  </si>
  <si>
    <t>Br (kN)</t>
  </si>
  <si>
    <t>Cr (kN)</t>
  </si>
  <si>
    <t>S-P-F</t>
  </si>
  <si>
    <t>No.1/No.2</t>
  </si>
  <si>
    <t>ATS</t>
  </si>
  <si>
    <t>ATUD9</t>
  </si>
  <si>
    <t>Remarks</t>
  </si>
  <si>
    <r>
      <rPr>
        <b/>
        <sz val="10"/>
        <color theme="1"/>
        <rFont val="Symbol"/>
        <family val="1"/>
        <charset val="2"/>
      </rPr>
      <t>D</t>
    </r>
    <r>
      <rPr>
        <b/>
        <sz val="10"/>
        <color theme="1"/>
        <rFont val="Arial"/>
        <family val="2"/>
      </rPr>
      <t xml:space="preserve"> x R</t>
    </r>
    <r>
      <rPr>
        <b/>
        <vertAlign val="subscript"/>
        <sz val="10"/>
        <color theme="1"/>
        <rFont val="Arial"/>
        <family val="2"/>
      </rPr>
      <t>d</t>
    </r>
    <r>
      <rPr>
        <b/>
        <sz val="10"/>
        <color theme="1"/>
        <rFont val="Arial"/>
        <family val="2"/>
      </rPr>
      <t>R</t>
    </r>
    <r>
      <rPr>
        <b/>
        <vertAlign val="subscript"/>
        <sz val="10"/>
        <color theme="1"/>
        <rFont val="Arial"/>
        <family val="2"/>
      </rPr>
      <t>o</t>
    </r>
  </si>
  <si>
    <t>OK</t>
  </si>
  <si>
    <t>Loading Data (Unfactored)</t>
  </si>
  <si>
    <t xml:space="preserve">1. Remove wall name </t>
  </si>
  <si>
    <t>2. Import wall length and coordinate</t>
  </si>
  <si>
    <t>3. Name the wall after exporting the data from fdf file</t>
  </si>
  <si>
    <t xml:space="preserve">4. Input height data manually </t>
  </si>
  <si>
    <t>Instruction for shearwall data table</t>
  </si>
  <si>
    <t>Detailed Summary Table</t>
  </si>
  <si>
    <r>
      <t>D</t>
    </r>
    <r>
      <rPr>
        <b/>
        <vertAlign val="subscript"/>
        <sz val="10"/>
        <color theme="1"/>
        <rFont val="Arial"/>
        <family val="2"/>
      </rPr>
      <t xml:space="preserve">i </t>
    </r>
    <r>
      <rPr>
        <b/>
        <sz val="10"/>
        <color theme="1"/>
        <rFont val="Arial"/>
        <family val="2"/>
      </rPr>
      <t>(mm)</t>
    </r>
  </si>
  <si>
    <t>Compression post configuration:</t>
  </si>
  <si>
    <t>Additional feature:</t>
  </si>
  <si>
    <t>O.S</t>
  </si>
  <si>
    <t>Wind</t>
  </si>
  <si>
    <t>NOT OK</t>
  </si>
  <si>
    <t>Project</t>
  </si>
  <si>
    <t>Project Name</t>
  </si>
  <si>
    <t>Date</t>
  </si>
  <si>
    <t>Job No.</t>
  </si>
  <si>
    <t>RJC.123456.0001</t>
  </si>
  <si>
    <t>Designer</t>
  </si>
  <si>
    <t>Designer Name</t>
  </si>
  <si>
    <t>Page</t>
  </si>
  <si>
    <t>2020 NBC: Seismic Load Calculations V4.06</t>
  </si>
  <si>
    <t>LOCATION DATA:</t>
  </si>
  <si>
    <t>Location:</t>
  </si>
  <si>
    <t>Castlegar, BC</t>
  </si>
  <si>
    <t>Site Class:</t>
  </si>
  <si>
    <t>D</t>
  </si>
  <si>
    <t>Wave Velocity:</t>
  </si>
  <si>
    <t>180 - 360 m/s</t>
  </si>
  <si>
    <t>Latitude:</t>
  </si>
  <si>
    <t>Longitude:</t>
  </si>
  <si>
    <t>SPECTRAL DATA</t>
  </si>
  <si>
    <t>S(T)</t>
  </si>
  <si>
    <t>-</t>
  </si>
  <si>
    <t>PGA</t>
  </si>
  <si>
    <t>Seismic Category =</t>
  </si>
  <si>
    <t>SC2</t>
  </si>
  <si>
    <t>PGV</t>
  </si>
  <si>
    <t>S(0.2)/S(5.0) =</t>
  </si>
  <si>
    <t>Probability of Exceedence:</t>
  </si>
  <si>
    <t>4.1.8.4 .)b Except as noted in 4.1.8.23, Spectral acceleration values shall correspond to a 2% Probability of Exceedance in 50 years</t>
  </si>
  <si>
    <t>SFRS SYSTEM:</t>
  </si>
  <si>
    <t xml:space="preserve">SFRS Material: </t>
  </si>
  <si>
    <t>Timber</t>
  </si>
  <si>
    <t xml:space="preserve">SFRS Type: </t>
  </si>
  <si>
    <t>Nailed shear walls: Wood-based panel</t>
  </si>
  <si>
    <t xml:space="preserve">SFRS Category: </t>
  </si>
  <si>
    <t>Shear Wall</t>
  </si>
  <si>
    <t xml:space="preserve">Restrictions and Limits: </t>
  </si>
  <si>
    <t xml:space="preserve">Per Table 4.1.8.9, SFRS is permitted and not limited in height; other code limitations may apply.  </t>
  </si>
  <si>
    <t xml:space="preserve">Method of Analysis: </t>
  </si>
  <si>
    <t>The Seismic Categroy is SC2 thus Equivalent Static Force Procedures per 4.1.8.11 are permitted; Dynamic Analysis not required.</t>
  </si>
  <si>
    <t xml:space="preserve">Structural Irregularities: </t>
  </si>
  <si>
    <t xml:space="preserve">Per 4.1.8.10.1, Structural irregularities of Type 6 are not permitted.  </t>
  </si>
  <si>
    <t>Number of Storeys, N =</t>
  </si>
  <si>
    <t>Diaphragm Length, L =</t>
  </si>
  <si>
    <t>Program calculated period:</t>
  </si>
  <si>
    <t>User calculated period (optional):</t>
  </si>
  <si>
    <t>Base Overturning Reduction Factor, J =</t>
  </si>
  <si>
    <t>Vertical Force Distribution:</t>
  </si>
  <si>
    <t>V =</t>
  </si>
  <si>
    <t>(kN)</t>
  </si>
  <si>
    <t>i</t>
  </si>
  <si>
    <t>Storey Name</t>
  </si>
  <si>
    <t>Storey Weight</t>
  </si>
  <si>
    <t>Storey Height</t>
  </si>
  <si>
    <t>Floor Elev'n.</t>
  </si>
  <si>
    <t>Seismic Force</t>
  </si>
  <si>
    <t>Shear</t>
  </si>
  <si>
    <t>(m)</t>
  </si>
  <si>
    <t>(kN·m)</t>
  </si>
  <si>
    <t>Seismic data</t>
  </si>
  <si>
    <t>Seismic Category</t>
  </si>
  <si>
    <r>
      <t>R</t>
    </r>
    <r>
      <rPr>
        <vertAlign val="subscript"/>
        <sz val="10"/>
        <color theme="1"/>
        <rFont val="Arial"/>
        <family val="2"/>
      </rPr>
      <t>d</t>
    </r>
  </si>
  <si>
    <r>
      <t>R</t>
    </r>
    <r>
      <rPr>
        <vertAlign val="subscript"/>
        <sz val="10"/>
        <color theme="1"/>
        <rFont val="Arial"/>
        <family val="2"/>
      </rPr>
      <t>o</t>
    </r>
  </si>
  <si>
    <t>Site Coefficient, Fs:</t>
  </si>
  <si>
    <t>Sa(T, X450)</t>
  </si>
  <si>
    <t>Sa(T, X)</t>
  </si>
  <si>
    <t>IEFsSa(0.2, X450) =</t>
  </si>
  <si>
    <t>IEFsSa(2.0, X450) =</t>
  </si>
  <si>
    <t>Fa =S(0.2)/Sa(0.2, X450) =</t>
  </si>
  <si>
    <t>Fv =S(1.0)/Sa(1.0, X450) =</t>
  </si>
  <si>
    <t>IES(0.2) =</t>
  </si>
  <si>
    <t>IES(1.0) =</t>
  </si>
  <si>
    <t>CODRM Factor, Rs =</t>
  </si>
  <si>
    <t>Importance Factor, IE =</t>
  </si>
  <si>
    <t>Rd =</t>
  </si>
  <si>
    <t>Ro =</t>
  </si>
  <si>
    <t>Building Height, hn =</t>
  </si>
  <si>
    <t>⇐ This value used</t>
  </si>
  <si>
    <t>Ta max = 2.0Ta =</t>
  </si>
  <si>
    <t>Ta =</t>
  </si>
  <si>
    <t>⇐ Governs</t>
  </si>
  <si>
    <t xml:space="preserve">S(Ta) = S(1.226) = </t>
  </si>
  <si>
    <t>Higher Mode Factor, Mv =</t>
  </si>
  <si>
    <t>Ft =</t>
  </si>
  <si>
    <t>Jx</t>
  </si>
  <si>
    <t>Moment with Jx</t>
  </si>
  <si>
    <r>
      <t>Applied Load Factor, C</t>
    </r>
    <r>
      <rPr>
        <b/>
        <vertAlign val="subscript"/>
        <sz val="10"/>
        <color theme="1"/>
        <rFont val="Arial"/>
        <family val="2"/>
      </rPr>
      <t>i</t>
    </r>
  </si>
  <si>
    <t>symmetric</t>
  </si>
  <si>
    <t>Hold Down Systems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</si>
</sst>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"/>
    <numFmt numFmtId="165" formatCode="0.0"/>
    <numFmt numFmtId="166" formatCode="0.000E+00"/>
    <numFmt numFmtId="167" formatCode="0.0E+00"/>
    <numFmt numFmtId="168" formatCode="0.0%"/>
    <numFmt numFmtId="169" formatCode="0E+00"/>
    <numFmt numFmtId="170" formatCode="0.00000"/>
    <numFmt numFmtId="171" formatCode="0.0000"/>
    <numFmt numFmtId="172" formatCode="mmmm\ d\,\ yyyy"/>
  </numFmts>
  <fonts count="4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0000FF"/>
      <name val="Arial"/>
      <family val="2"/>
    </font>
    <font>
      <b/>
      <sz val="10"/>
      <color rgb="FF0000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vertAlign val="subscript"/>
      <sz val="10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i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b/>
      <sz val="10"/>
      <color theme="1"/>
      <name val="Symbol"/>
      <family val="1"/>
      <charset val="2"/>
    </font>
    <font>
      <b/>
      <sz val="10"/>
      <color theme="1"/>
      <name val="Arail"/>
    </font>
    <font>
      <sz val="11"/>
      <name val="Arial"/>
      <family val="2"/>
    </font>
    <font>
      <b/>
      <vertAlign val="subscript"/>
      <sz val="10"/>
      <color theme="1"/>
      <name val="Arail"/>
    </font>
    <font>
      <b/>
      <vertAlign val="subscript"/>
      <sz val="11"/>
      <color theme="1"/>
      <name val="Arial"/>
      <family val="2"/>
    </font>
    <font>
      <b/>
      <sz val="11"/>
      <color theme="1"/>
      <name val="Symbol"/>
      <family val="1"/>
      <charset val="2"/>
    </font>
    <font>
      <sz val="11"/>
      <color rgb="FF0000FF"/>
      <name val="Arial"/>
      <family val="2"/>
    </font>
    <font>
      <b/>
      <i/>
      <vertAlign val="subscript"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00B050"/>
      <name val="Arial"/>
      <family val="2"/>
    </font>
    <font>
      <sz val="10"/>
      <name val="Courier"/>
      <family val="3"/>
    </font>
    <font>
      <b/>
      <sz val="11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Arial"/>
      <family val="1"/>
      <charset val="2"/>
    </font>
    <font>
      <b/>
      <vertAlign val="superscript"/>
      <sz val="11"/>
      <color theme="1"/>
      <name val="Arial"/>
      <family val="2"/>
    </font>
    <font>
      <sz val="8"/>
      <name val="Calibri"/>
      <family val="2"/>
      <scheme val="minor"/>
    </font>
    <font>
      <b/>
      <u/>
      <sz val="10"/>
      <color theme="1"/>
      <name val="Arial"/>
      <family val="2"/>
    </font>
    <font>
      <sz val="11"/>
      <name val="Calibri"/>
      <family val="2"/>
      <scheme val="minor"/>
    </font>
    <font>
      <b/>
      <u/>
      <sz val="11"/>
      <name val="Arial"/>
      <family val="2"/>
    </font>
    <font>
      <b/>
      <u/>
      <sz val="11"/>
      <color theme="1"/>
      <name val="Arial"/>
      <family val="2"/>
    </font>
    <font>
      <sz val="12"/>
      <name val="Times New Roman"/>
      <family val="1"/>
    </font>
    <font>
      <sz val="10"/>
      <name val="Times New Roman"/>
      <family val="1"/>
    </font>
    <font>
      <sz val="12"/>
      <color indexed="12"/>
      <name val="Times New Roman"/>
      <family val="1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27" fillId="0" borderId="0"/>
  </cellStyleXfs>
  <cellXfs count="314">
    <xf numFmtId="0" fontId="0" fillId="0" borderId="0" xfId="0"/>
    <xf numFmtId="0" fontId="10" fillId="0" borderId="4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1" fontId="4" fillId="0" borderId="4" xfId="0" applyNumberFormat="1" applyFont="1" applyBorder="1" applyAlignment="1">
      <alignment horizontal="center" vertical="center"/>
    </xf>
    <xf numFmtId="165" fontId="4" fillId="0" borderId="4" xfId="0" applyNumberFormat="1" applyFont="1" applyBorder="1" applyAlignment="1">
      <alignment horizontal="center" vertical="center"/>
    </xf>
    <xf numFmtId="165" fontId="7" fillId="0" borderId="4" xfId="0" applyNumberFormat="1" applyFont="1" applyBorder="1" applyAlignment="1">
      <alignment horizontal="center" vertical="center"/>
    </xf>
    <xf numFmtId="165" fontId="3" fillId="0" borderId="4" xfId="0" applyNumberFormat="1" applyFont="1" applyBorder="1" applyAlignment="1">
      <alignment horizontal="center" vertical="center"/>
    </xf>
    <xf numFmtId="2" fontId="3" fillId="0" borderId="4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65" fontId="3" fillId="4" borderId="4" xfId="0" applyNumberFormat="1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3" fillId="0" borderId="0" xfId="0" applyFont="1"/>
    <xf numFmtId="0" fontId="10" fillId="0" borderId="0" xfId="0" applyFont="1"/>
    <xf numFmtId="0" fontId="11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0" fillId="0" borderId="2" xfId="0" applyFont="1" applyBorder="1"/>
    <xf numFmtId="0" fontId="3" fillId="2" borderId="1" xfId="0" applyFont="1" applyFill="1" applyBorder="1" applyAlignment="1">
      <alignment horizontal="center" vertical="center"/>
    </xf>
    <xf numFmtId="0" fontId="3" fillId="0" borderId="2" xfId="0" applyFont="1" applyBorder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5" fillId="0" borderId="0" xfId="0" applyFont="1"/>
    <xf numFmtId="0" fontId="9" fillId="0" borderId="2" xfId="0" applyFont="1" applyBorder="1"/>
    <xf numFmtId="165" fontId="3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165" fontId="7" fillId="0" borderId="1" xfId="0" applyNumberFormat="1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65" fontId="7" fillId="3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0" borderId="0" xfId="0" applyFont="1"/>
    <xf numFmtId="0" fontId="10" fillId="0" borderId="4" xfId="0" applyFont="1" applyBorder="1"/>
    <xf numFmtId="1" fontId="3" fillId="0" borderId="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2" fontId="3" fillId="4" borderId="1" xfId="0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 vertical="center"/>
    </xf>
    <xf numFmtId="11" fontId="3" fillId="2" borderId="1" xfId="0" applyNumberFormat="1" applyFont="1" applyFill="1" applyBorder="1" applyAlignment="1">
      <alignment horizontal="center" vertical="center"/>
    </xf>
    <xf numFmtId="167" fontId="3" fillId="2" borderId="1" xfId="0" applyNumberFormat="1" applyFont="1" applyFill="1" applyBorder="1" applyAlignment="1">
      <alignment horizontal="center" vertical="center"/>
    </xf>
    <xf numFmtId="165" fontId="3" fillId="4" borderId="1" xfId="0" applyNumberFormat="1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165" fontId="3" fillId="2" borderId="4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1" fontId="3" fillId="2" borderId="4" xfId="0" applyNumberFormat="1" applyFont="1" applyFill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10" fontId="3" fillId="0" borderId="0" xfId="1" applyNumberFormat="1" applyFont="1" applyFill="1" applyBorder="1" applyAlignment="1">
      <alignment horizontal="center" vertical="center"/>
    </xf>
    <xf numFmtId="168" fontId="3" fillId="0" borderId="0" xfId="1" applyNumberFormat="1" applyFont="1" applyFill="1" applyBorder="1" applyAlignment="1">
      <alignment horizontal="center" vertical="center"/>
    </xf>
    <xf numFmtId="2" fontId="7" fillId="4" borderId="1" xfId="0" applyNumberFormat="1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vertical="center"/>
    </xf>
    <xf numFmtId="1" fontId="3" fillId="0" borderId="1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11" fontId="3" fillId="0" borderId="1" xfId="0" applyNumberFormat="1" applyFont="1" applyBorder="1" applyAlignment="1">
      <alignment horizontal="center"/>
    </xf>
    <xf numFmtId="10" fontId="3" fillId="0" borderId="1" xfId="1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1" fontId="3" fillId="4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" fontId="7" fillId="3" borderId="1" xfId="0" applyNumberFormat="1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2" fontId="7" fillId="3" borderId="4" xfId="0" applyNumberFormat="1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3" fillId="0" borderId="0" xfId="0" applyFont="1"/>
    <xf numFmtId="164" fontId="23" fillId="0" borderId="0" xfId="0" applyNumberFormat="1" applyFont="1"/>
    <xf numFmtId="1" fontId="3" fillId="2" borderId="4" xfId="0" applyNumberFormat="1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165" fontId="9" fillId="0" borderId="0" xfId="0" applyNumberFormat="1" applyFont="1"/>
    <xf numFmtId="1" fontId="25" fillId="0" borderId="0" xfId="0" applyNumberFormat="1" applyFont="1" applyAlignment="1">
      <alignment horizontal="center" vertical="center"/>
    </xf>
    <xf numFmtId="2" fontId="3" fillId="4" borderId="4" xfId="0" applyNumberFormat="1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1" fontId="3" fillId="4" borderId="4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165" fontId="7" fillId="3" borderId="4" xfId="0" applyNumberFormat="1" applyFont="1" applyFill="1" applyBorder="1" applyAlignment="1">
      <alignment horizontal="center" vertical="center"/>
    </xf>
    <xf numFmtId="1" fontId="7" fillId="3" borderId="4" xfId="0" applyNumberFormat="1" applyFont="1" applyFill="1" applyBorder="1" applyAlignment="1">
      <alignment horizontal="center" vertical="center"/>
    </xf>
    <xf numFmtId="2" fontId="7" fillId="0" borderId="4" xfId="0" applyNumberFormat="1" applyFont="1" applyBorder="1" applyAlignment="1">
      <alignment horizontal="center" vertical="center"/>
    </xf>
    <xf numFmtId="2" fontId="7" fillId="4" borderId="4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1" fontId="3" fillId="0" borderId="4" xfId="0" applyNumberFormat="1" applyFont="1" applyBorder="1" applyAlignment="1">
      <alignment horizontal="center" vertical="center"/>
    </xf>
    <xf numFmtId="10" fontId="3" fillId="0" borderId="4" xfId="1" applyNumberFormat="1" applyFont="1" applyFill="1" applyBorder="1" applyAlignment="1">
      <alignment horizontal="center" vertical="center"/>
    </xf>
    <xf numFmtId="0" fontId="4" fillId="0" borderId="4" xfId="0" quotePrefix="1" applyFont="1" applyBorder="1" applyAlignment="1">
      <alignment horizontal="center" vertical="center"/>
    </xf>
    <xf numFmtId="164" fontId="3" fillId="2" borderId="4" xfId="0" applyNumberFormat="1" applyFont="1" applyFill="1" applyBorder="1" applyAlignment="1">
      <alignment horizontal="center" vertical="center"/>
    </xf>
    <xf numFmtId="167" fontId="3" fillId="2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right"/>
    </xf>
    <xf numFmtId="2" fontId="3" fillId="6" borderId="1" xfId="0" applyNumberFormat="1" applyFont="1" applyFill="1" applyBorder="1" applyAlignment="1">
      <alignment horizontal="right" vertical="center"/>
    </xf>
    <xf numFmtId="165" fontId="4" fillId="0" borderId="0" xfId="0" applyNumberFormat="1" applyFont="1"/>
    <xf numFmtId="165" fontId="23" fillId="0" borderId="0" xfId="0" applyNumberFormat="1" applyFont="1"/>
    <xf numFmtId="0" fontId="9" fillId="6" borderId="0" xfId="0" applyFont="1" applyFill="1"/>
    <xf numFmtId="0" fontId="3" fillId="6" borderId="0" xfId="0" applyFont="1" applyFill="1"/>
    <xf numFmtId="0" fontId="3" fillId="6" borderId="0" xfId="0" applyFont="1" applyFill="1" applyAlignment="1">
      <alignment horizontal="center" vertical="center"/>
    </xf>
    <xf numFmtId="0" fontId="10" fillId="6" borderId="0" xfId="0" applyFont="1" applyFill="1"/>
    <xf numFmtId="165" fontId="10" fillId="4" borderId="0" xfId="0" applyNumberFormat="1" applyFont="1" applyFill="1"/>
    <xf numFmtId="2" fontId="23" fillId="0" borderId="0" xfId="0" applyNumberFormat="1" applyFont="1"/>
    <xf numFmtId="165" fontId="5" fillId="4" borderId="0" xfId="0" applyNumberFormat="1" applyFont="1" applyFill="1"/>
    <xf numFmtId="165" fontId="10" fillId="0" borderId="0" xfId="0" applyNumberFormat="1" applyFont="1"/>
    <xf numFmtId="165" fontId="5" fillId="0" borderId="0" xfId="0" applyNumberFormat="1" applyFont="1"/>
    <xf numFmtId="0" fontId="8" fillId="0" borderId="0" xfId="0" applyFont="1"/>
    <xf numFmtId="0" fontId="28" fillId="0" borderId="0" xfId="0" applyFont="1"/>
    <xf numFmtId="0" fontId="28" fillId="0" borderId="0" xfId="0" applyFont="1" applyAlignment="1">
      <alignment wrapText="1"/>
    </xf>
    <xf numFmtId="0" fontId="11" fillId="0" borderId="1" xfId="0" applyFont="1" applyBorder="1" applyAlignment="1">
      <alignment wrapText="1"/>
    </xf>
    <xf numFmtId="0" fontId="11" fillId="0" borderId="1" xfId="0" applyFont="1" applyBorder="1" applyAlignment="1">
      <alignment horizontal="center" vertical="center" wrapText="1"/>
    </xf>
    <xf numFmtId="0" fontId="9" fillId="0" borderId="0" xfId="0" applyFont="1" applyAlignment="1">
      <alignment wrapText="1"/>
    </xf>
    <xf numFmtId="165" fontId="23" fillId="0" borderId="1" xfId="0" applyNumberFormat="1" applyFont="1" applyBorder="1"/>
    <xf numFmtId="0" fontId="9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center" vertical="center" wrapText="1"/>
    </xf>
    <xf numFmtId="165" fontId="3" fillId="0" borderId="0" xfId="0" applyNumberFormat="1" applyFont="1"/>
    <xf numFmtId="0" fontId="9" fillId="0" borderId="1" xfId="0" applyFont="1" applyBorder="1"/>
    <xf numFmtId="165" fontId="3" fillId="0" borderId="1" xfId="0" applyNumberFormat="1" applyFont="1" applyBorder="1"/>
    <xf numFmtId="0" fontId="10" fillId="0" borderId="2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11" fillId="0" borderId="2" xfId="0" applyFont="1" applyBorder="1" applyAlignment="1">
      <alignment wrapText="1"/>
    </xf>
    <xf numFmtId="0" fontId="9" fillId="0" borderId="1" xfId="0" applyFont="1" applyBorder="1" applyAlignment="1">
      <alignment horizontal="left"/>
    </xf>
    <xf numFmtId="1" fontId="4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/>
    <xf numFmtId="0" fontId="4" fillId="0" borderId="1" xfId="0" applyFont="1" applyBorder="1"/>
    <xf numFmtId="165" fontId="4" fillId="0" borderId="1" xfId="0" applyNumberFormat="1" applyFont="1" applyBorder="1"/>
    <xf numFmtId="0" fontId="3" fillId="0" borderId="1" xfId="0" applyFont="1" applyBorder="1"/>
    <xf numFmtId="2" fontId="3" fillId="0" borderId="0" xfId="0" applyNumberFormat="1" applyFont="1"/>
    <xf numFmtId="164" fontId="3" fillId="0" borderId="0" xfId="0" applyNumberFormat="1" applyFont="1"/>
    <xf numFmtId="0" fontId="3" fillId="4" borderId="0" xfId="0" applyFont="1" applyFill="1"/>
    <xf numFmtId="169" fontId="3" fillId="4" borderId="0" xfId="0" applyNumberFormat="1" applyFont="1" applyFill="1"/>
    <xf numFmtId="2" fontId="3" fillId="0" borderId="1" xfId="0" applyNumberFormat="1" applyFont="1" applyBorder="1"/>
    <xf numFmtId="164" fontId="3" fillId="0" borderId="1" xfId="0" applyNumberFormat="1" applyFont="1" applyBorder="1"/>
    <xf numFmtId="0" fontId="3" fillId="4" borderId="1" xfId="0" applyFont="1" applyFill="1" applyBorder="1"/>
    <xf numFmtId="169" fontId="3" fillId="4" borderId="1" xfId="0" applyNumberFormat="1" applyFont="1" applyFill="1" applyBorder="1"/>
    <xf numFmtId="169" fontId="3" fillId="0" borderId="0" xfId="0" applyNumberFormat="1" applyFont="1"/>
    <xf numFmtId="169" fontId="3" fillId="0" borderId="1" xfId="0" applyNumberFormat="1" applyFont="1" applyBorder="1"/>
    <xf numFmtId="171" fontId="3" fillId="4" borderId="0" xfId="0" applyNumberFormat="1" applyFont="1" applyFill="1"/>
    <xf numFmtId="171" fontId="3" fillId="4" borderId="1" xfId="0" applyNumberFormat="1" applyFont="1" applyFill="1" applyBorder="1"/>
    <xf numFmtId="167" fontId="3" fillId="4" borderId="0" xfId="0" applyNumberFormat="1" applyFont="1" applyFill="1"/>
    <xf numFmtId="167" fontId="3" fillId="4" borderId="1" xfId="0" applyNumberFormat="1" applyFont="1" applyFill="1" applyBorder="1"/>
    <xf numFmtId="0" fontId="2" fillId="0" borderId="0" xfId="0" applyFont="1"/>
    <xf numFmtId="170" fontId="5" fillId="4" borderId="0" xfId="0" applyNumberFormat="1" applyFont="1" applyFill="1"/>
    <xf numFmtId="0" fontId="33" fillId="0" borderId="0" xfId="0" applyFont="1"/>
    <xf numFmtId="0" fontId="7" fillId="0" borderId="0" xfId="0" applyFont="1"/>
    <xf numFmtId="165" fontId="6" fillId="0" borderId="0" xfId="0" applyNumberFormat="1" applyFont="1"/>
    <xf numFmtId="0" fontId="34" fillId="0" borderId="0" xfId="0" applyFont="1"/>
    <xf numFmtId="0" fontId="6" fillId="2" borderId="0" xfId="0" applyFont="1" applyFill="1"/>
    <xf numFmtId="0" fontId="7" fillId="2" borderId="0" xfId="0" applyFont="1" applyFill="1" applyAlignment="1">
      <alignment horizontal="center" vertical="center"/>
    </xf>
    <xf numFmtId="0" fontId="7" fillId="2" borderId="0" xfId="0" applyFont="1" applyFill="1"/>
    <xf numFmtId="0" fontId="19" fillId="2" borderId="0" xfId="0" applyFont="1" applyFill="1"/>
    <xf numFmtId="165" fontId="6" fillId="2" borderId="0" xfId="0" applyNumberFormat="1" applyFont="1" applyFill="1"/>
    <xf numFmtId="0" fontId="34" fillId="2" borderId="0" xfId="0" applyFont="1" applyFill="1"/>
    <xf numFmtId="0" fontId="0" fillId="2" borderId="0" xfId="0" applyFill="1"/>
    <xf numFmtId="0" fontId="11" fillId="0" borderId="2" xfId="0" applyFont="1" applyBorder="1" applyAlignment="1">
      <alignment horizontal="center" wrapText="1"/>
    </xf>
    <xf numFmtId="49" fontId="6" fillId="4" borderId="0" xfId="0" applyNumberFormat="1" applyFont="1" applyFill="1" applyAlignment="1">
      <alignment horizontal="right"/>
    </xf>
    <xf numFmtId="0" fontId="17" fillId="0" borderId="0" xfId="0" applyFont="1" applyAlignment="1">
      <alignment horizontal="center" vertical="center"/>
    </xf>
    <xf numFmtId="0" fontId="9" fillId="0" borderId="4" xfId="0" applyFont="1" applyBorder="1"/>
    <xf numFmtId="0" fontId="17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1" fillId="0" borderId="1" xfId="0" applyFont="1" applyBorder="1"/>
    <xf numFmtId="0" fontId="11" fillId="0" borderId="1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1" fontId="11" fillId="0" borderId="0" xfId="0" applyNumberFormat="1" applyFont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" fontId="11" fillId="0" borderId="1" xfId="0" applyNumberFormat="1" applyFont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168" fontId="3" fillId="0" borderId="4" xfId="1" applyNumberFormat="1" applyFont="1" applyFill="1" applyBorder="1"/>
    <xf numFmtId="168" fontId="3" fillId="0" borderId="0" xfId="1" applyNumberFormat="1" applyFont="1" applyFill="1" applyBorder="1"/>
    <xf numFmtId="168" fontId="3" fillId="0" borderId="1" xfId="1" applyNumberFormat="1" applyFont="1" applyFill="1" applyBorder="1"/>
    <xf numFmtId="0" fontId="18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wrapText="1"/>
    </xf>
    <xf numFmtId="0" fontId="17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/>
    </xf>
    <xf numFmtId="0" fontId="17" fillId="0" borderId="2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1" fontId="26" fillId="0" borderId="0" xfId="0" applyNumberFormat="1" applyFont="1" applyAlignment="1">
      <alignment horizontal="center" vertical="center"/>
    </xf>
    <xf numFmtId="2" fontId="3" fillId="6" borderId="1" xfId="0" applyNumberFormat="1" applyFont="1" applyFill="1" applyBorder="1" applyAlignment="1">
      <alignment horizontal="left"/>
    </xf>
    <xf numFmtId="0" fontId="7" fillId="7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165" fontId="7" fillId="7" borderId="4" xfId="0" applyNumberFormat="1" applyFont="1" applyFill="1" applyBorder="1" applyAlignment="1">
      <alignment horizontal="center" vertical="center"/>
    </xf>
    <xf numFmtId="2" fontId="7" fillId="7" borderId="4" xfId="0" applyNumberFormat="1" applyFont="1" applyFill="1" applyBorder="1" applyAlignment="1">
      <alignment horizontal="center" vertical="center"/>
    </xf>
    <xf numFmtId="1" fontId="7" fillId="7" borderId="4" xfId="0" applyNumberFormat="1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165" fontId="7" fillId="7" borderId="0" xfId="0" applyNumberFormat="1" applyFont="1" applyFill="1" applyAlignment="1">
      <alignment horizontal="center" vertical="center"/>
    </xf>
    <xf numFmtId="2" fontId="7" fillId="7" borderId="0" xfId="0" applyNumberFormat="1" applyFont="1" applyFill="1" applyAlignment="1">
      <alignment horizontal="center" vertical="center"/>
    </xf>
    <xf numFmtId="1" fontId="7" fillId="7" borderId="0" xfId="0" applyNumberFormat="1" applyFont="1" applyFill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165" fontId="7" fillId="7" borderId="1" xfId="0" applyNumberFormat="1" applyFont="1" applyFill="1" applyBorder="1" applyAlignment="1">
      <alignment horizontal="center" vertical="center"/>
    </xf>
    <xf numFmtId="2" fontId="7" fillId="7" borderId="1" xfId="0" applyNumberFormat="1" applyFont="1" applyFill="1" applyBorder="1" applyAlignment="1">
      <alignment horizontal="center" vertical="center"/>
    </xf>
    <xf numFmtId="1" fontId="7" fillId="7" borderId="1" xfId="0" applyNumberFormat="1" applyFont="1" applyFill="1" applyBorder="1" applyAlignment="1">
      <alignment horizontal="center" vertical="center"/>
    </xf>
    <xf numFmtId="0" fontId="35" fillId="0" borderId="0" xfId="0" applyFont="1"/>
    <xf numFmtId="165" fontId="10" fillId="6" borderId="0" xfId="0" applyNumberFormat="1" applyFont="1" applyFill="1"/>
    <xf numFmtId="165" fontId="5" fillId="6" borderId="0" xfId="0" applyNumberFormat="1" applyFont="1" applyFill="1"/>
    <xf numFmtId="0" fontId="36" fillId="0" borderId="0" xfId="0" applyFont="1"/>
    <xf numFmtId="2" fontId="5" fillId="0" borderId="0" xfId="0" applyNumberFormat="1" applyFont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2" fontId="3" fillId="4" borderId="0" xfId="0" applyNumberFormat="1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1" fontId="3" fillId="4" borderId="0" xfId="0" applyNumberFormat="1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165" fontId="7" fillId="3" borderId="0" xfId="0" applyNumberFormat="1" applyFont="1" applyFill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1" fontId="7" fillId="3" borderId="0" xfId="0" applyNumberFormat="1" applyFont="1" applyFill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2" fontId="7" fillId="4" borderId="0" xfId="0" applyNumberFormat="1" applyFont="1" applyFill="1" applyAlignment="1">
      <alignment horizontal="center" vertical="center"/>
    </xf>
    <xf numFmtId="11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/>
    </xf>
    <xf numFmtId="11" fontId="3" fillId="0" borderId="0" xfId="0" applyNumberFormat="1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3" fillId="2" borderId="0" xfId="0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65" fontId="3" fillId="2" borderId="0" xfId="0" applyNumberFormat="1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166" fontId="3" fillId="2" borderId="0" xfId="0" applyNumberFormat="1" applyFont="1" applyFill="1" applyAlignment="1">
      <alignment horizontal="center" vertical="center"/>
    </xf>
    <xf numFmtId="11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7" fontId="3" fillId="2" borderId="0" xfId="0" applyNumberFormat="1" applyFont="1" applyFill="1" applyAlignment="1">
      <alignment horizontal="center" vertical="center"/>
    </xf>
    <xf numFmtId="165" fontId="7" fillId="0" borderId="0" xfId="0" applyNumberFormat="1" applyFont="1" applyAlignment="1">
      <alignment horizontal="center"/>
    </xf>
    <xf numFmtId="0" fontId="11" fillId="0" borderId="1" xfId="0" applyFont="1" applyBorder="1" applyAlignment="1">
      <alignment horizontal="center" wrapText="1"/>
    </xf>
    <xf numFmtId="0" fontId="4" fillId="6" borderId="1" xfId="2" applyFont="1" applyFill="1" applyBorder="1" applyAlignment="1" applyProtection="1">
      <alignment horizontal="left"/>
      <protection locked="0"/>
    </xf>
    <xf numFmtId="0" fontId="3" fillId="6" borderId="1" xfId="0" applyFont="1" applyFill="1" applyBorder="1" applyProtection="1">
      <protection locked="0"/>
    </xf>
    <xf numFmtId="15" fontId="3" fillId="6" borderId="2" xfId="3" applyNumberFormat="1" applyFont="1" applyFill="1" applyBorder="1" applyAlignment="1">
      <alignment horizontal="left" vertical="center"/>
    </xf>
    <xf numFmtId="0" fontId="28" fillId="0" borderId="2" xfId="0" applyFont="1" applyBorder="1" applyAlignment="1">
      <alignment horizontal="center"/>
    </xf>
    <xf numFmtId="0" fontId="28" fillId="0" borderId="0" xfId="0" applyFont="1" applyAlignment="1">
      <alignment horizontal="center" wrapText="1"/>
    </xf>
    <xf numFmtId="0" fontId="28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0" fillId="0" borderId="1" xfId="0" applyFont="1" applyBorder="1" applyAlignment="1">
      <alignment horizontal="center"/>
    </xf>
    <xf numFmtId="165" fontId="6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0" fillId="4" borderId="7" xfId="0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 wrapText="1"/>
    </xf>
    <xf numFmtId="0" fontId="10" fillId="4" borderId="8" xfId="0" applyFont="1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wrapText="1"/>
    </xf>
    <xf numFmtId="0" fontId="6" fillId="0" borderId="4" xfId="0" applyFont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 wrapText="1"/>
    </xf>
    <xf numFmtId="2" fontId="3" fillId="2" borderId="0" xfId="0" applyNumberFormat="1" applyFont="1" applyFill="1" applyAlignment="1">
      <alignment horizontal="center" vertical="center" wrapText="1"/>
    </xf>
    <xf numFmtId="2" fontId="3" fillId="2" borderId="1" xfId="0" applyNumberFormat="1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165" fontId="3" fillId="2" borderId="4" xfId="0" applyNumberFormat="1" applyFont="1" applyFill="1" applyBorder="1" applyAlignment="1">
      <alignment horizontal="center" vertical="center" wrapText="1"/>
    </xf>
    <xf numFmtId="165" fontId="3" fillId="2" borderId="0" xfId="0" applyNumberFormat="1" applyFont="1" applyFill="1" applyAlignment="1">
      <alignment horizontal="center" vertical="center" wrapText="1"/>
    </xf>
    <xf numFmtId="165" fontId="3" fillId="2" borderId="1" xfId="0" applyNumberFormat="1" applyFont="1" applyFill="1" applyBorder="1" applyAlignment="1">
      <alignment horizontal="center" vertical="center" wrapText="1"/>
    </xf>
    <xf numFmtId="0" fontId="37" fillId="0" borderId="0" xfId="0" applyFont="1" applyAlignment="1">
      <alignment vertical="center"/>
    </xf>
    <xf numFmtId="0" fontId="38" fillId="0" borderId="10" xfId="0" applyFont="1" applyBorder="1" applyAlignment="1">
      <alignment vertical="center"/>
    </xf>
    <xf numFmtId="0" fontId="39" fillId="0" borderId="10" xfId="0" applyFont="1" applyBorder="1" applyAlignment="1" applyProtection="1">
      <alignment vertical="center"/>
      <protection locked="0"/>
    </xf>
    <xf numFmtId="0" fontId="38" fillId="0" borderId="1" xfId="0" applyFont="1" applyBorder="1" applyAlignment="1">
      <alignment vertical="center"/>
    </xf>
    <xf numFmtId="172" fontId="37" fillId="0" borderId="2" xfId="0" applyNumberFormat="1" applyFont="1" applyBorder="1" applyAlignment="1">
      <alignment horizontal="left" vertical="center"/>
    </xf>
    <xf numFmtId="0" fontId="39" fillId="0" borderId="2" xfId="0" applyFont="1" applyBorder="1" applyAlignment="1" applyProtection="1">
      <alignment vertical="center"/>
      <protection locked="0"/>
    </xf>
    <xf numFmtId="0" fontId="37" fillId="0" borderId="2" xfId="0" applyFont="1" applyBorder="1" applyAlignment="1" applyProtection="1">
      <alignment horizontal="left" vertical="center"/>
      <protection locked="0"/>
    </xf>
    <xf numFmtId="49" fontId="6" fillId="4" borderId="0" xfId="0" applyNumberFormat="1" applyFont="1" applyFill="1" applyAlignment="1">
      <alignment horizontal="left"/>
    </xf>
    <xf numFmtId="0" fontId="11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0" fontId="7" fillId="7" borderId="0" xfId="1" applyNumberFormat="1" applyFont="1" applyFill="1" applyAlignment="1">
      <alignment horizontal="center" vertical="center"/>
    </xf>
    <xf numFmtId="10" fontId="7" fillId="7" borderId="1" xfId="1" applyNumberFormat="1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165" fontId="7" fillId="2" borderId="0" xfId="0" applyNumberFormat="1" applyFont="1" applyFill="1" applyAlignment="1">
      <alignment horizontal="center" vertical="center"/>
    </xf>
    <xf numFmtId="10" fontId="7" fillId="2" borderId="0" xfId="1" applyNumberFormat="1" applyFont="1" applyFill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165" fontId="7" fillId="2" borderId="1" xfId="0" applyNumberFormat="1" applyFont="1" applyFill="1" applyBorder="1" applyAlignment="1">
      <alignment horizontal="center" vertical="center"/>
    </xf>
    <xf numFmtId="10" fontId="7" fillId="2" borderId="1" xfId="1" applyNumberFormat="1" applyFont="1" applyFill="1" applyBorder="1" applyAlignment="1">
      <alignment horizontal="center" vertical="center"/>
    </xf>
  </cellXfs>
  <cellStyles count="4">
    <cellStyle name="Normal" xfId="0" builtinId="0"/>
    <cellStyle name="Normal 2" xfId="2" xr:uid="{00000000-0005-0000-0000-000001000000}"/>
    <cellStyle name="Normal_FTGM" xfId="3" xr:uid="{00000000-0005-0000-0000-000002000000}"/>
    <cellStyle name="Percent" xfId="1" builtinId="5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png"/><Relationship Id="rId3" Type="http://schemas.openxmlformats.org/officeDocument/2006/relationships/image" Target="../media/image5.png"/><Relationship Id="rId7" Type="http://schemas.openxmlformats.org/officeDocument/2006/relationships/image" Target="../media/image9.jpe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1" Type="http://schemas.openxmlformats.org/officeDocument/2006/relationships/image" Target="../media/image1.jpe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10" Type="http://schemas.openxmlformats.org/officeDocument/2006/relationships/image" Target="../media/image12.png"/><Relationship Id="rId19" Type="http://schemas.openxmlformats.org/officeDocument/2006/relationships/image" Target="../media/image21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png"/><Relationship Id="rId3" Type="http://schemas.openxmlformats.org/officeDocument/2006/relationships/image" Target="../media/image5.png"/><Relationship Id="rId7" Type="http://schemas.openxmlformats.org/officeDocument/2006/relationships/image" Target="../media/image9.jpe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1" Type="http://schemas.openxmlformats.org/officeDocument/2006/relationships/image" Target="../media/image1.jpe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10" Type="http://schemas.openxmlformats.org/officeDocument/2006/relationships/image" Target="../media/image12.png"/><Relationship Id="rId19" Type="http://schemas.openxmlformats.org/officeDocument/2006/relationships/image" Target="../media/image21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120440</xdr:colOff>
      <xdr:row>3</xdr:row>
      <xdr:rowOff>21431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49240" cy="5929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361950</xdr:colOff>
          <xdr:row>4</xdr:row>
          <xdr:rowOff>142875</xdr:rowOff>
        </xdr:from>
        <xdr:to>
          <xdr:col>20</xdr:col>
          <xdr:colOff>457200</xdr:colOff>
          <xdr:row>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1. Import SW markups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361950</xdr:colOff>
          <xdr:row>12</xdr:row>
          <xdr:rowOff>95250</xdr:rowOff>
        </xdr:from>
        <xdr:to>
          <xdr:col>20</xdr:col>
          <xdr:colOff>457200</xdr:colOff>
          <xdr:row>13</xdr:row>
          <xdr:rowOff>123825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3. Generate Walls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361950</xdr:colOff>
          <xdr:row>23</xdr:row>
          <xdr:rowOff>95250</xdr:rowOff>
        </xdr:from>
        <xdr:to>
          <xdr:col>20</xdr:col>
          <xdr:colOff>457200</xdr:colOff>
          <xdr:row>24</xdr:row>
          <xdr:rowOff>161925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0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5. Reset Wall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361950</xdr:colOff>
          <xdr:row>17</xdr:row>
          <xdr:rowOff>76200</xdr:rowOff>
        </xdr:from>
        <xdr:to>
          <xdr:col>20</xdr:col>
          <xdr:colOff>419100</xdr:colOff>
          <xdr:row>19</xdr:row>
          <xdr:rowOff>28575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0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5. Import Stiffness and periods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361950</xdr:colOff>
          <xdr:row>20</xdr:row>
          <xdr:rowOff>104775</xdr:rowOff>
        </xdr:from>
        <xdr:to>
          <xdr:col>20</xdr:col>
          <xdr:colOff>438150</xdr:colOff>
          <xdr:row>22</xdr:row>
          <xdr:rowOff>19050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0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6. Export New Forces to the Walls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361950</xdr:colOff>
          <xdr:row>7</xdr:row>
          <xdr:rowOff>76200</xdr:rowOff>
        </xdr:from>
        <xdr:to>
          <xdr:col>20</xdr:col>
          <xdr:colOff>457200</xdr:colOff>
          <xdr:row>8</xdr:row>
          <xdr:rowOff>95250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0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2a. Generate Diaphragm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361950</xdr:colOff>
          <xdr:row>9</xdr:row>
          <xdr:rowOff>180975</xdr:rowOff>
        </xdr:from>
        <xdr:to>
          <xdr:col>20</xdr:col>
          <xdr:colOff>457200</xdr:colOff>
          <xdr:row>11</xdr:row>
          <xdr:rowOff>9525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0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2b. Load Data to Diaphragm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361950</xdr:colOff>
          <xdr:row>15</xdr:row>
          <xdr:rowOff>9525</xdr:rowOff>
        </xdr:from>
        <xdr:to>
          <xdr:col>20</xdr:col>
          <xdr:colOff>457200</xdr:colOff>
          <xdr:row>16</xdr:row>
          <xdr:rowOff>9525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0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4a. Export All Forces to the Walls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295275</xdr:colOff>
      <xdr:row>3</xdr:row>
      <xdr:rowOff>171450</xdr:rowOff>
    </xdr:from>
    <xdr:to>
      <xdr:col>26</xdr:col>
      <xdr:colOff>520657</xdr:colOff>
      <xdr:row>29</xdr:row>
      <xdr:rowOff>141320</xdr:rowOff>
    </xdr:to>
    <xdr:pic>
      <xdr:nvPicPr>
        <xdr:cNvPr id="18" name="ShearWallLayout">
          <a:extLst>
            <a:ext uri="{FF2B5EF4-FFF2-40B4-BE49-F238E27FC236}">
              <a16:creationId xmlns:a16="http://schemas.microsoft.com/office/drawing/2014/main" id="{62955C44-9849-EFC3-C3F3-F42ED3891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68475" y="742950"/>
          <a:ext cx="2054182" cy="49800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120440</xdr:colOff>
      <xdr:row>3</xdr:row>
      <xdr:rowOff>45524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49240" cy="597974"/>
        </a:xfrm>
        <a:prstGeom prst="rect">
          <a:avLst/>
        </a:prstGeom>
      </xdr:spPr>
    </xdr:pic>
    <xdr:clientData/>
  </xdr:twoCellAnchor>
  <xdr:twoCellAnchor editAs="oneCell">
    <xdr:from>
      <xdr:col>31</xdr:col>
      <xdr:colOff>14514</xdr:colOff>
      <xdr:row>6</xdr:row>
      <xdr:rowOff>141514</xdr:rowOff>
    </xdr:from>
    <xdr:to>
      <xdr:col>42</xdr:col>
      <xdr:colOff>367840</xdr:colOff>
      <xdr:row>34</xdr:row>
      <xdr:rowOff>133350</xdr:rowOff>
    </xdr:to>
    <xdr:pic>
      <xdr:nvPicPr>
        <xdr:cNvPr id="3" name="RoofDiaphragmShearWallPlo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50264" y="1227364"/>
          <a:ext cx="7554226" cy="52020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10</xdr:row>
          <xdr:rowOff>76200</xdr:rowOff>
        </xdr:from>
        <xdr:to>
          <xdr:col>17</xdr:col>
          <xdr:colOff>123825</xdr:colOff>
          <xdr:row>12</xdr:row>
          <xdr:rowOff>76200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All forces to the Walls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95250</xdr:rowOff>
        </xdr:from>
        <xdr:to>
          <xdr:col>17</xdr:col>
          <xdr:colOff>104775</xdr:colOff>
          <xdr:row>22</xdr:row>
          <xdr:rowOff>95250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1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All Stiffnesses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17</xdr:col>
          <xdr:colOff>104775</xdr:colOff>
          <xdr:row>15</xdr:row>
          <xdr:rowOff>161925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1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New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17</xdr:row>
          <xdr:rowOff>19050</xdr:rowOff>
        </xdr:from>
        <xdr:to>
          <xdr:col>17</xdr:col>
          <xdr:colOff>104775</xdr:colOff>
          <xdr:row>19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1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New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47625</xdr:rowOff>
        </xdr:from>
        <xdr:to>
          <xdr:col>17</xdr:col>
          <xdr:colOff>104775</xdr:colOff>
          <xdr:row>29</xdr:row>
          <xdr:rowOff>9525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1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New forces to the Walls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24</xdr:row>
          <xdr:rowOff>0</xdr:rowOff>
        </xdr:from>
        <xdr:to>
          <xdr:col>17</xdr:col>
          <xdr:colOff>104775</xdr:colOff>
          <xdr:row>25</xdr:row>
          <xdr:rowOff>161925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1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Forces to New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0</xdr:row>
      <xdr:rowOff>95250</xdr:rowOff>
    </xdr:from>
    <xdr:to>
      <xdr:col>2</xdr:col>
      <xdr:colOff>503200</xdr:colOff>
      <xdr:row>3</xdr:row>
      <xdr:rowOff>11292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465D96E-576B-4717-A20E-A05776776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95250"/>
          <a:ext cx="1531900" cy="487542"/>
        </a:xfrm>
        <a:prstGeom prst="rect">
          <a:avLst/>
        </a:prstGeom>
      </xdr:spPr>
    </xdr:pic>
    <xdr:clientData/>
  </xdr:twoCellAnchor>
  <xdr:twoCellAnchor editAs="oneCell">
    <xdr:from>
      <xdr:col>2</xdr:col>
      <xdr:colOff>823426</xdr:colOff>
      <xdr:row>161</xdr:row>
      <xdr:rowOff>66259</xdr:rowOff>
    </xdr:from>
    <xdr:to>
      <xdr:col>5</xdr:col>
      <xdr:colOff>879906</xdr:colOff>
      <xdr:row>163</xdr:row>
      <xdr:rowOff>21803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B6BAC5-7E6C-4530-8152-F10402ABE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33076" y="31232059"/>
          <a:ext cx="2590130" cy="336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33</xdr:row>
          <xdr:rowOff>152400</xdr:rowOff>
        </xdr:from>
        <xdr:to>
          <xdr:col>14</xdr:col>
          <xdr:colOff>704850</xdr:colOff>
          <xdr:row>35</xdr:row>
          <xdr:rowOff>152400</xdr:rowOff>
        </xdr:to>
        <xdr:sp macro="" textlink="">
          <xdr:nvSpPr>
            <xdr:cNvPr id="110594" name="Button 2" hidden="1">
              <a:extLst>
                <a:ext uri="{63B3BB69-23CF-44E3-9099-C40C66FF867C}">
                  <a14:compatExt spid="_x0000_s110594"/>
                </a:ext>
                <a:ext uri="{FF2B5EF4-FFF2-40B4-BE49-F238E27FC236}">
                  <a16:creationId xmlns:a16="http://schemas.microsoft.com/office/drawing/2014/main" id="{00000000-0008-0000-0200-000002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SW Data to Summary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228600</xdr:colOff>
          <xdr:row>33</xdr:row>
          <xdr:rowOff>133350</xdr:rowOff>
        </xdr:from>
        <xdr:to>
          <xdr:col>18</xdr:col>
          <xdr:colOff>371475</xdr:colOff>
          <xdr:row>35</xdr:row>
          <xdr:rowOff>133350</xdr:rowOff>
        </xdr:to>
        <xdr:sp macro="" textlink="">
          <xdr:nvSpPr>
            <xdr:cNvPr id="110595" name="Button 3" hidden="1">
              <a:extLst>
                <a:ext uri="{63B3BB69-23CF-44E3-9099-C40C66FF867C}">
                  <a14:compatExt spid="_x0000_s110595"/>
                </a:ext>
                <a:ext uri="{FF2B5EF4-FFF2-40B4-BE49-F238E27FC236}">
                  <a16:creationId xmlns:a16="http://schemas.microsoft.com/office/drawing/2014/main" id="{00000000-0008-0000-0200-000003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User Defined to Final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1047750</xdr:colOff>
          <xdr:row>33</xdr:row>
          <xdr:rowOff>171450</xdr:rowOff>
        </xdr:from>
        <xdr:to>
          <xdr:col>7</xdr:col>
          <xdr:colOff>266700</xdr:colOff>
          <xdr:row>35</xdr:row>
          <xdr:rowOff>180975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02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Design Shear Wall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33</xdr:col>
      <xdr:colOff>0</xdr:colOff>
      <xdr:row>50</xdr:row>
      <xdr:rowOff>0</xdr:rowOff>
    </xdr:from>
    <xdr:to>
      <xdr:col>35</xdr:col>
      <xdr:colOff>133179</xdr:colOff>
      <xdr:row>84</xdr:row>
      <xdr:rowOff>176096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D500E0D-C552-4F65-92B0-8E6E015B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993600" y="10010775"/>
          <a:ext cx="1352379" cy="6653096"/>
        </a:xfrm>
        <a:prstGeom prst="rect">
          <a:avLst/>
        </a:prstGeom>
      </xdr:spPr>
    </xdr:pic>
    <xdr:clientData/>
  </xdr:twoCellAnchor>
  <xdr:twoCellAnchor editAs="oneCell">
    <xdr:from>
      <xdr:col>36</xdr:col>
      <xdr:colOff>238125</xdr:colOff>
      <xdr:row>55</xdr:row>
      <xdr:rowOff>55711</xdr:rowOff>
    </xdr:from>
    <xdr:to>
      <xdr:col>38</xdr:col>
      <xdr:colOff>547687</xdr:colOff>
      <xdr:row>85</xdr:row>
      <xdr:rowOff>102629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AB76E7D-D4EF-449A-9439-A4C5D7A5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060525" y="10980886"/>
          <a:ext cx="1528762" cy="5761918"/>
        </a:xfrm>
        <a:prstGeom prst="rect">
          <a:avLst/>
        </a:prstGeom>
      </xdr:spPr>
    </xdr:pic>
    <xdr:clientData/>
  </xdr:twoCellAnchor>
  <xdr:twoCellAnchor editAs="oneCell">
    <xdr:from>
      <xdr:col>39</xdr:col>
      <xdr:colOff>381000</xdr:colOff>
      <xdr:row>58</xdr:row>
      <xdr:rowOff>179916</xdr:rowOff>
    </xdr:from>
    <xdr:to>
      <xdr:col>41</xdr:col>
      <xdr:colOff>395088</xdr:colOff>
      <xdr:row>83</xdr:row>
      <xdr:rowOff>134596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0DDE424-E606-46CC-BE83-C2508F49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9032200" y="11952816"/>
          <a:ext cx="1595238" cy="4717180"/>
        </a:xfrm>
        <a:prstGeom prst="rect">
          <a:avLst/>
        </a:prstGeom>
      </xdr:spPr>
    </xdr:pic>
    <xdr:clientData/>
  </xdr:twoCellAnchor>
  <xdr:twoCellAnchor editAs="oneCell">
    <xdr:from>
      <xdr:col>43</xdr:col>
      <xdr:colOff>47625</xdr:colOff>
      <xdr:row>64</xdr:row>
      <xdr:rowOff>84666</xdr:rowOff>
    </xdr:from>
    <xdr:to>
      <xdr:col>45</xdr:col>
      <xdr:colOff>273744</xdr:colOff>
      <xdr:row>84</xdr:row>
      <xdr:rowOff>15140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85942A-EE13-40CD-92D9-F1997E032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1499175" y="12943416"/>
          <a:ext cx="1445319" cy="3740474"/>
        </a:xfrm>
        <a:prstGeom prst="rect">
          <a:avLst/>
        </a:prstGeom>
      </xdr:spPr>
    </xdr:pic>
    <xdr:clientData/>
  </xdr:twoCellAnchor>
  <xdr:twoCellAnchor editAs="oneCell">
    <xdr:from>
      <xdr:col>45</xdr:col>
      <xdr:colOff>182706</xdr:colOff>
      <xdr:row>96</xdr:row>
      <xdr:rowOff>51088</xdr:rowOff>
    </xdr:from>
    <xdr:to>
      <xdr:col>52</xdr:col>
      <xdr:colOff>132484</xdr:colOff>
      <xdr:row>151</xdr:row>
      <xdr:rowOff>0</xdr:rowOff>
    </xdr:to>
    <xdr:pic>
      <xdr:nvPicPr>
        <xdr:cNvPr id="8" name="Picture 7" descr="ATS Typical 5 Story Run">
          <a:extLst>
            <a:ext uri="{FF2B5EF4-FFF2-40B4-BE49-F238E27FC236}">
              <a16:creationId xmlns:a16="http://schemas.microsoft.com/office/drawing/2014/main" id="{552BBB80-12F1-4DFF-A9E6-33B690568F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53456" y="18872488"/>
          <a:ext cx="4778953" cy="103857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114300</xdr:colOff>
      <xdr:row>187</xdr:row>
      <xdr:rowOff>114300</xdr:rowOff>
    </xdr:from>
    <xdr:to>
      <xdr:col>8</xdr:col>
      <xdr:colOff>781024</xdr:colOff>
      <xdr:row>190</xdr:row>
      <xdr:rowOff>47401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3FB1BD-C4F3-4338-BEC9-AED70B7E7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743575" y="36128325"/>
          <a:ext cx="1438249" cy="504601"/>
        </a:xfrm>
        <a:prstGeom prst="rect">
          <a:avLst/>
        </a:prstGeom>
      </xdr:spPr>
    </xdr:pic>
    <xdr:clientData/>
  </xdr:twoCellAnchor>
  <xdr:twoCellAnchor editAs="oneCell">
    <xdr:from>
      <xdr:col>7</xdr:col>
      <xdr:colOff>561975</xdr:colOff>
      <xdr:row>213</xdr:row>
      <xdr:rowOff>19051</xdr:rowOff>
    </xdr:from>
    <xdr:to>
      <xdr:col>8</xdr:col>
      <xdr:colOff>666750</xdr:colOff>
      <xdr:row>215</xdr:row>
      <xdr:rowOff>145907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073E85C-6D04-462A-B8BF-EEEEDEB649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191250" y="40967026"/>
          <a:ext cx="876300" cy="507856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476251</xdr:colOff>
      <xdr:row>227</xdr:row>
      <xdr:rowOff>172091</xdr:rowOff>
    </xdr:from>
    <xdr:to>
      <xdr:col>9</xdr:col>
      <xdr:colOff>228600</xdr:colOff>
      <xdr:row>229</xdr:row>
      <xdr:rowOff>104672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CB5C525-AFFC-4BDA-B5B5-1A6F35105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105526" y="43853741"/>
          <a:ext cx="1400174" cy="313581"/>
        </a:xfrm>
        <a:prstGeom prst="rect">
          <a:avLst/>
        </a:prstGeom>
      </xdr:spPr>
    </xdr:pic>
    <xdr:clientData/>
  </xdr:twoCellAnchor>
  <xdr:twoCellAnchor editAs="oneCell">
    <xdr:from>
      <xdr:col>8</xdr:col>
      <xdr:colOff>676276</xdr:colOff>
      <xdr:row>241</xdr:row>
      <xdr:rowOff>9524</xdr:rowOff>
    </xdr:from>
    <xdr:to>
      <xdr:col>9</xdr:col>
      <xdr:colOff>688738</xdr:colOff>
      <xdr:row>243</xdr:row>
      <xdr:rowOff>66511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B6E9C80-BCE6-4268-A36F-CC95066B2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077076" y="46405799"/>
          <a:ext cx="888762" cy="437987"/>
        </a:xfrm>
        <a:prstGeom prst="rect">
          <a:avLst/>
        </a:prstGeom>
      </xdr:spPr>
    </xdr:pic>
    <xdr:clientData/>
  </xdr:twoCellAnchor>
  <xdr:twoCellAnchor editAs="oneCell">
    <xdr:from>
      <xdr:col>8</xdr:col>
      <xdr:colOff>523875</xdr:colOff>
      <xdr:row>254</xdr:row>
      <xdr:rowOff>134529</xdr:rowOff>
    </xdr:from>
    <xdr:to>
      <xdr:col>12</xdr:col>
      <xdr:colOff>542925</xdr:colOff>
      <xdr:row>257</xdr:row>
      <xdr:rowOff>66460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7D53641-601E-4A16-B062-2BA6C4BAA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924675" y="49064454"/>
          <a:ext cx="3381375" cy="503431"/>
        </a:xfrm>
        <a:prstGeom prst="rect">
          <a:avLst/>
        </a:prstGeom>
      </xdr:spPr>
    </xdr:pic>
    <xdr:clientData/>
  </xdr:twoCellAnchor>
  <xdr:twoCellAnchor editAs="oneCell">
    <xdr:from>
      <xdr:col>17</xdr:col>
      <xdr:colOff>200025</xdr:colOff>
      <xdr:row>91</xdr:row>
      <xdr:rowOff>19049</xdr:rowOff>
    </xdr:from>
    <xdr:to>
      <xdr:col>19</xdr:col>
      <xdr:colOff>161925</xdr:colOff>
      <xdr:row>99</xdr:row>
      <xdr:rowOff>105926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3F18217-178C-41C5-BFCC-95EB3467F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287500" y="17935574"/>
          <a:ext cx="1543050" cy="1610877"/>
        </a:xfrm>
        <a:prstGeom prst="rect">
          <a:avLst/>
        </a:prstGeom>
      </xdr:spPr>
    </xdr:pic>
    <xdr:clientData/>
  </xdr:twoCellAnchor>
  <xdr:twoCellAnchor editAs="oneCell">
    <xdr:from>
      <xdr:col>20</xdr:col>
      <xdr:colOff>268958</xdr:colOff>
      <xdr:row>89</xdr:row>
      <xdr:rowOff>123826</xdr:rowOff>
    </xdr:from>
    <xdr:to>
      <xdr:col>28</xdr:col>
      <xdr:colOff>308597</xdr:colOff>
      <xdr:row>101</xdr:row>
      <xdr:rowOff>104148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AF87C895-5135-4E21-837D-C9F1F4B1C4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728158" y="17668876"/>
          <a:ext cx="5526039" cy="2266322"/>
        </a:xfrm>
        <a:prstGeom prst="rect">
          <a:avLst/>
        </a:prstGeom>
      </xdr:spPr>
    </xdr:pic>
    <xdr:clientData/>
  </xdr:twoCellAnchor>
  <xdr:twoCellAnchor editAs="oneCell">
    <xdr:from>
      <xdr:col>13</xdr:col>
      <xdr:colOff>463796</xdr:colOff>
      <xdr:row>109</xdr:row>
      <xdr:rowOff>47625</xdr:rowOff>
    </xdr:from>
    <xdr:to>
      <xdr:col>16</xdr:col>
      <xdr:colOff>625154</xdr:colOff>
      <xdr:row>116</xdr:row>
      <xdr:rowOff>142445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DFB4C1EE-42E5-4C73-ADE3-5D1AFF0E41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160371" y="21231225"/>
          <a:ext cx="2761683" cy="1428320"/>
        </a:xfrm>
        <a:prstGeom prst="rect">
          <a:avLst/>
        </a:prstGeom>
      </xdr:spPr>
    </xdr:pic>
    <xdr:clientData/>
  </xdr:twoCellAnchor>
  <xdr:twoCellAnchor editAs="oneCell">
    <xdr:from>
      <xdr:col>17</xdr:col>
      <xdr:colOff>390525</xdr:colOff>
      <xdr:row>108</xdr:row>
      <xdr:rowOff>42899</xdr:rowOff>
    </xdr:from>
    <xdr:to>
      <xdr:col>26</xdr:col>
      <xdr:colOff>160276</xdr:colOff>
      <xdr:row>122</xdr:row>
      <xdr:rowOff>170730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C62D71D-01EE-4565-B157-3EFCDFE9E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478000" y="21045524"/>
          <a:ext cx="6408676" cy="2794831"/>
        </a:xfrm>
        <a:prstGeom prst="rect">
          <a:avLst/>
        </a:prstGeom>
      </xdr:spPr>
    </xdr:pic>
    <xdr:clientData/>
  </xdr:twoCellAnchor>
  <xdr:twoCellAnchor editAs="oneCell">
    <xdr:from>
      <xdr:col>9</xdr:col>
      <xdr:colOff>790575</xdr:colOff>
      <xdr:row>275</xdr:row>
      <xdr:rowOff>36073</xdr:rowOff>
    </xdr:from>
    <xdr:to>
      <xdr:col>11</xdr:col>
      <xdr:colOff>533400</xdr:colOff>
      <xdr:row>279</xdr:row>
      <xdr:rowOff>180564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1E43AD1-DCC7-41F3-8160-AFBF3563B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67675" y="53156998"/>
          <a:ext cx="1362075" cy="916016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285750</xdr:colOff>
      <xdr:row>291</xdr:row>
      <xdr:rowOff>168965</xdr:rowOff>
    </xdr:from>
    <xdr:to>
      <xdr:col>17</xdr:col>
      <xdr:colOff>675234</xdr:colOff>
      <xdr:row>296</xdr:row>
      <xdr:rowOff>18779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5706740D-8DE9-4FC0-93E7-C202047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1687175" y="56337890"/>
          <a:ext cx="3075534" cy="8023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33</xdr:row>
          <xdr:rowOff>161925</xdr:rowOff>
        </xdr:from>
        <xdr:to>
          <xdr:col>11</xdr:col>
          <xdr:colOff>133350</xdr:colOff>
          <xdr:row>35</xdr:row>
          <xdr:rowOff>161925</xdr:rowOff>
        </xdr:to>
        <xdr:sp macro="" textlink="">
          <xdr:nvSpPr>
            <xdr:cNvPr id="110599" name="Button 7" hidden="1">
              <a:extLst>
                <a:ext uri="{63B3BB69-23CF-44E3-9099-C40C66FF867C}">
                  <a14:compatExt spid="_x0000_s110599"/>
                </a:ext>
                <a:ext uri="{FF2B5EF4-FFF2-40B4-BE49-F238E27FC236}">
                  <a16:creationId xmlns:a16="http://schemas.microsoft.com/office/drawing/2014/main" id="{00000000-0008-0000-0200-000007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Move Result to Output Table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609600</xdr:colOff>
      <xdr:row>26</xdr:row>
      <xdr:rowOff>1698</xdr:rowOff>
    </xdr:from>
    <xdr:to>
      <xdr:col>20</xdr:col>
      <xdr:colOff>245751</xdr:colOff>
      <xdr:row>32</xdr:row>
      <xdr:rowOff>56582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48798646-D719-D2AD-8A9E-961888C12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887325" y="4973748"/>
          <a:ext cx="3817626" cy="11407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723900</xdr:colOff>
          <xdr:row>33</xdr:row>
          <xdr:rowOff>138112</xdr:rowOff>
        </xdr:from>
        <xdr:to>
          <xdr:col>22</xdr:col>
          <xdr:colOff>152400</xdr:colOff>
          <xdr:row>35</xdr:row>
          <xdr:rowOff>138112</xdr:rowOff>
        </xdr:to>
        <xdr:sp macro="" textlink="">
          <xdr:nvSpPr>
            <xdr:cNvPr id="110604" name="Button 12" hidden="1">
              <a:extLst>
                <a:ext uri="{63B3BB69-23CF-44E3-9099-C40C66FF867C}">
                  <a14:compatExt spid="_x0000_s110604"/>
                </a:ext>
                <a:ext uri="{FF2B5EF4-FFF2-40B4-BE49-F238E27FC236}">
                  <a16:creationId xmlns:a16="http://schemas.microsoft.com/office/drawing/2014/main" id="{9ACE3703-0DCC-6C27-15D3-6999CA41EB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Design Summary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0</xdr:row>
      <xdr:rowOff>95250</xdr:rowOff>
    </xdr:from>
    <xdr:to>
      <xdr:col>2</xdr:col>
      <xdr:colOff>503200</xdr:colOff>
      <xdr:row>3</xdr:row>
      <xdr:rowOff>11292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90F7AF-C241-4CE5-B260-E88C18CBE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95250"/>
          <a:ext cx="1531900" cy="458967"/>
        </a:xfrm>
        <a:prstGeom prst="rect">
          <a:avLst/>
        </a:prstGeom>
      </xdr:spPr>
    </xdr:pic>
    <xdr:clientData/>
  </xdr:twoCellAnchor>
  <xdr:twoCellAnchor editAs="oneCell">
    <xdr:from>
      <xdr:col>2</xdr:col>
      <xdr:colOff>823426</xdr:colOff>
      <xdr:row>161</xdr:row>
      <xdr:rowOff>66259</xdr:rowOff>
    </xdr:from>
    <xdr:to>
      <xdr:col>5</xdr:col>
      <xdr:colOff>879906</xdr:colOff>
      <xdr:row>163</xdr:row>
      <xdr:rowOff>21803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1673142-A4AD-46B0-A809-2CFAD94F8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33076" y="31232059"/>
          <a:ext cx="2590130" cy="3174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33</xdr:row>
          <xdr:rowOff>152400</xdr:rowOff>
        </xdr:from>
        <xdr:to>
          <xdr:col>14</xdr:col>
          <xdr:colOff>704850</xdr:colOff>
          <xdr:row>35</xdr:row>
          <xdr:rowOff>152400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8E0606E9-DFFC-449E-A463-35F66B39F8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SW Data to Summary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228600</xdr:colOff>
          <xdr:row>33</xdr:row>
          <xdr:rowOff>133350</xdr:rowOff>
        </xdr:from>
        <xdr:to>
          <xdr:col>18</xdr:col>
          <xdr:colOff>371475</xdr:colOff>
          <xdr:row>35</xdr:row>
          <xdr:rowOff>133350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774F6EE3-A9C2-4137-B09F-8A270A0BAB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User Defined to Final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1047750</xdr:colOff>
          <xdr:row>33</xdr:row>
          <xdr:rowOff>171450</xdr:rowOff>
        </xdr:from>
        <xdr:to>
          <xdr:col>7</xdr:col>
          <xdr:colOff>266700</xdr:colOff>
          <xdr:row>35</xdr:row>
          <xdr:rowOff>180975</xdr:rowOff>
        </xdr:to>
        <xdr:sp macro="" textlink="">
          <xdr:nvSpPr>
            <xdr:cNvPr id="114691" name="Button 3" hidden="1">
              <a:extLst>
                <a:ext uri="{63B3BB69-23CF-44E3-9099-C40C66FF867C}">
                  <a14:compatExt spid="_x0000_s114691"/>
                </a:ext>
                <a:ext uri="{FF2B5EF4-FFF2-40B4-BE49-F238E27FC236}">
                  <a16:creationId xmlns:a16="http://schemas.microsoft.com/office/drawing/2014/main" id="{F00F4C58-E0D5-4CA9-972F-D157DDD9CB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Design Shear Wall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33</xdr:col>
      <xdr:colOff>0</xdr:colOff>
      <xdr:row>50</xdr:row>
      <xdr:rowOff>0</xdr:rowOff>
    </xdr:from>
    <xdr:to>
      <xdr:col>35</xdr:col>
      <xdr:colOff>133179</xdr:colOff>
      <xdr:row>84</xdr:row>
      <xdr:rowOff>176096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8064AB7-F8A4-4B57-9690-3017C7503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993600" y="10010775"/>
          <a:ext cx="1352379" cy="6805496"/>
        </a:xfrm>
        <a:prstGeom prst="rect">
          <a:avLst/>
        </a:prstGeom>
      </xdr:spPr>
    </xdr:pic>
    <xdr:clientData/>
  </xdr:twoCellAnchor>
  <xdr:twoCellAnchor editAs="oneCell">
    <xdr:from>
      <xdr:col>36</xdr:col>
      <xdr:colOff>238125</xdr:colOff>
      <xdr:row>55</xdr:row>
      <xdr:rowOff>55711</xdr:rowOff>
    </xdr:from>
    <xdr:to>
      <xdr:col>38</xdr:col>
      <xdr:colOff>547687</xdr:colOff>
      <xdr:row>85</xdr:row>
      <xdr:rowOff>102629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3FBE660-3246-4174-A2D3-8255FEA92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060525" y="10980886"/>
          <a:ext cx="1528762" cy="5942893"/>
        </a:xfrm>
        <a:prstGeom prst="rect">
          <a:avLst/>
        </a:prstGeom>
      </xdr:spPr>
    </xdr:pic>
    <xdr:clientData/>
  </xdr:twoCellAnchor>
  <xdr:twoCellAnchor editAs="oneCell">
    <xdr:from>
      <xdr:col>39</xdr:col>
      <xdr:colOff>381000</xdr:colOff>
      <xdr:row>58</xdr:row>
      <xdr:rowOff>179916</xdr:rowOff>
    </xdr:from>
    <xdr:to>
      <xdr:col>41</xdr:col>
      <xdr:colOff>395088</xdr:colOff>
      <xdr:row>83</xdr:row>
      <xdr:rowOff>134596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FB5F0AF-5166-4C24-AF77-F12825D969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9032200" y="11952816"/>
          <a:ext cx="1595238" cy="4640980"/>
        </a:xfrm>
        <a:prstGeom prst="rect">
          <a:avLst/>
        </a:prstGeom>
      </xdr:spPr>
    </xdr:pic>
    <xdr:clientData/>
  </xdr:twoCellAnchor>
  <xdr:twoCellAnchor editAs="oneCell">
    <xdr:from>
      <xdr:col>43</xdr:col>
      <xdr:colOff>47625</xdr:colOff>
      <xdr:row>64</xdr:row>
      <xdr:rowOff>84666</xdr:rowOff>
    </xdr:from>
    <xdr:to>
      <xdr:col>45</xdr:col>
      <xdr:colOff>273744</xdr:colOff>
      <xdr:row>84</xdr:row>
      <xdr:rowOff>15140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CF215EB-9D72-4349-BD7C-DE4058639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1499175" y="12943416"/>
          <a:ext cx="1445319" cy="3711899"/>
        </a:xfrm>
        <a:prstGeom prst="rect">
          <a:avLst/>
        </a:prstGeom>
      </xdr:spPr>
    </xdr:pic>
    <xdr:clientData/>
  </xdr:twoCellAnchor>
  <xdr:twoCellAnchor editAs="oneCell">
    <xdr:from>
      <xdr:col>45</xdr:col>
      <xdr:colOff>182706</xdr:colOff>
      <xdr:row>96</xdr:row>
      <xdr:rowOff>51088</xdr:rowOff>
    </xdr:from>
    <xdr:to>
      <xdr:col>52</xdr:col>
      <xdr:colOff>132484</xdr:colOff>
      <xdr:row>151</xdr:row>
      <xdr:rowOff>0</xdr:rowOff>
    </xdr:to>
    <xdr:pic>
      <xdr:nvPicPr>
        <xdr:cNvPr id="8" name="Picture 7" descr="ATS Typical 5 Story Run">
          <a:extLst>
            <a:ext uri="{FF2B5EF4-FFF2-40B4-BE49-F238E27FC236}">
              <a16:creationId xmlns:a16="http://schemas.microsoft.com/office/drawing/2014/main" id="{476CE054-3D45-484D-865F-243779E97E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53456" y="18872488"/>
          <a:ext cx="4778953" cy="104835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114300</xdr:colOff>
      <xdr:row>187</xdr:row>
      <xdr:rowOff>114300</xdr:rowOff>
    </xdr:from>
    <xdr:to>
      <xdr:col>8</xdr:col>
      <xdr:colOff>781024</xdr:colOff>
      <xdr:row>190</xdr:row>
      <xdr:rowOff>47401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EF8E8DC-EF62-4716-800B-78C94B2DD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743575" y="36128325"/>
          <a:ext cx="1438249" cy="533176"/>
        </a:xfrm>
        <a:prstGeom prst="rect">
          <a:avLst/>
        </a:prstGeom>
      </xdr:spPr>
    </xdr:pic>
    <xdr:clientData/>
  </xdr:twoCellAnchor>
  <xdr:twoCellAnchor editAs="oneCell">
    <xdr:from>
      <xdr:col>7</xdr:col>
      <xdr:colOff>561975</xdr:colOff>
      <xdr:row>213</xdr:row>
      <xdr:rowOff>19051</xdr:rowOff>
    </xdr:from>
    <xdr:to>
      <xdr:col>8</xdr:col>
      <xdr:colOff>666750</xdr:colOff>
      <xdr:row>215</xdr:row>
      <xdr:rowOff>145907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92603C7-AB59-4AF9-9404-FEA7187B2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191250" y="40967026"/>
          <a:ext cx="876300" cy="526906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476251</xdr:colOff>
      <xdr:row>227</xdr:row>
      <xdr:rowOff>172091</xdr:rowOff>
    </xdr:from>
    <xdr:to>
      <xdr:col>9</xdr:col>
      <xdr:colOff>228600</xdr:colOff>
      <xdr:row>229</xdr:row>
      <xdr:rowOff>104672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46EA852-C24F-4300-8383-9C7DBCA979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105526" y="43853741"/>
          <a:ext cx="1400174" cy="313581"/>
        </a:xfrm>
        <a:prstGeom prst="rect">
          <a:avLst/>
        </a:prstGeom>
      </xdr:spPr>
    </xdr:pic>
    <xdr:clientData/>
  </xdr:twoCellAnchor>
  <xdr:twoCellAnchor editAs="oneCell">
    <xdr:from>
      <xdr:col>8</xdr:col>
      <xdr:colOff>676276</xdr:colOff>
      <xdr:row>241</xdr:row>
      <xdr:rowOff>9524</xdr:rowOff>
    </xdr:from>
    <xdr:to>
      <xdr:col>9</xdr:col>
      <xdr:colOff>688738</xdr:colOff>
      <xdr:row>243</xdr:row>
      <xdr:rowOff>66511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3A1628D-766A-4B92-B283-B85B658134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077076" y="46405799"/>
          <a:ext cx="888762" cy="437987"/>
        </a:xfrm>
        <a:prstGeom prst="rect">
          <a:avLst/>
        </a:prstGeom>
      </xdr:spPr>
    </xdr:pic>
    <xdr:clientData/>
  </xdr:twoCellAnchor>
  <xdr:twoCellAnchor editAs="oneCell">
    <xdr:from>
      <xdr:col>8</xdr:col>
      <xdr:colOff>523875</xdr:colOff>
      <xdr:row>254</xdr:row>
      <xdr:rowOff>134529</xdr:rowOff>
    </xdr:from>
    <xdr:to>
      <xdr:col>12</xdr:col>
      <xdr:colOff>542925</xdr:colOff>
      <xdr:row>257</xdr:row>
      <xdr:rowOff>66460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7094AC05-3091-4D73-957C-5E5E5D7B2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924675" y="49064454"/>
          <a:ext cx="3381375" cy="532006"/>
        </a:xfrm>
        <a:prstGeom prst="rect">
          <a:avLst/>
        </a:prstGeom>
      </xdr:spPr>
    </xdr:pic>
    <xdr:clientData/>
  </xdr:twoCellAnchor>
  <xdr:twoCellAnchor editAs="oneCell">
    <xdr:from>
      <xdr:col>17</xdr:col>
      <xdr:colOff>200025</xdr:colOff>
      <xdr:row>91</xdr:row>
      <xdr:rowOff>19049</xdr:rowOff>
    </xdr:from>
    <xdr:to>
      <xdr:col>19</xdr:col>
      <xdr:colOff>161925</xdr:colOff>
      <xdr:row>99</xdr:row>
      <xdr:rowOff>105926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538DB2F-9C73-4F60-86A1-5857984AD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287500" y="17935574"/>
          <a:ext cx="1543050" cy="1534677"/>
        </a:xfrm>
        <a:prstGeom prst="rect">
          <a:avLst/>
        </a:prstGeom>
      </xdr:spPr>
    </xdr:pic>
    <xdr:clientData/>
  </xdr:twoCellAnchor>
  <xdr:twoCellAnchor editAs="oneCell">
    <xdr:from>
      <xdr:col>20</xdr:col>
      <xdr:colOff>268958</xdr:colOff>
      <xdr:row>89</xdr:row>
      <xdr:rowOff>123826</xdr:rowOff>
    </xdr:from>
    <xdr:to>
      <xdr:col>28</xdr:col>
      <xdr:colOff>308597</xdr:colOff>
      <xdr:row>101</xdr:row>
      <xdr:rowOff>104148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2F0D89C-6F49-4B97-81AE-0A9BCFEEA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728158" y="17668876"/>
          <a:ext cx="5526039" cy="2161547"/>
        </a:xfrm>
        <a:prstGeom prst="rect">
          <a:avLst/>
        </a:prstGeom>
      </xdr:spPr>
    </xdr:pic>
    <xdr:clientData/>
  </xdr:twoCellAnchor>
  <xdr:twoCellAnchor editAs="oneCell">
    <xdr:from>
      <xdr:col>13</xdr:col>
      <xdr:colOff>463796</xdr:colOff>
      <xdr:row>109</xdr:row>
      <xdr:rowOff>47625</xdr:rowOff>
    </xdr:from>
    <xdr:to>
      <xdr:col>16</xdr:col>
      <xdr:colOff>625154</xdr:colOff>
      <xdr:row>116</xdr:row>
      <xdr:rowOff>142445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DAE3664D-4303-4CD1-AD52-4E09B0E63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160371" y="21231225"/>
          <a:ext cx="2761683" cy="1399745"/>
        </a:xfrm>
        <a:prstGeom prst="rect">
          <a:avLst/>
        </a:prstGeom>
      </xdr:spPr>
    </xdr:pic>
    <xdr:clientData/>
  </xdr:twoCellAnchor>
  <xdr:twoCellAnchor editAs="oneCell">
    <xdr:from>
      <xdr:col>17</xdr:col>
      <xdr:colOff>390525</xdr:colOff>
      <xdr:row>108</xdr:row>
      <xdr:rowOff>42899</xdr:rowOff>
    </xdr:from>
    <xdr:to>
      <xdr:col>26</xdr:col>
      <xdr:colOff>160276</xdr:colOff>
      <xdr:row>122</xdr:row>
      <xdr:rowOff>170730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FBE72380-43C7-4CEB-AEFD-0B6185489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478000" y="21045524"/>
          <a:ext cx="6408676" cy="2794831"/>
        </a:xfrm>
        <a:prstGeom prst="rect">
          <a:avLst/>
        </a:prstGeom>
      </xdr:spPr>
    </xdr:pic>
    <xdr:clientData/>
  </xdr:twoCellAnchor>
  <xdr:twoCellAnchor editAs="oneCell">
    <xdr:from>
      <xdr:col>9</xdr:col>
      <xdr:colOff>790575</xdr:colOff>
      <xdr:row>275</xdr:row>
      <xdr:rowOff>36073</xdr:rowOff>
    </xdr:from>
    <xdr:to>
      <xdr:col>11</xdr:col>
      <xdr:colOff>533400</xdr:colOff>
      <xdr:row>279</xdr:row>
      <xdr:rowOff>180564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E678A17D-75BD-4B22-BE96-609CF9EE2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67675" y="53156998"/>
          <a:ext cx="1362075" cy="868391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285750</xdr:colOff>
      <xdr:row>291</xdr:row>
      <xdr:rowOff>168965</xdr:rowOff>
    </xdr:from>
    <xdr:to>
      <xdr:col>17</xdr:col>
      <xdr:colOff>675234</xdr:colOff>
      <xdr:row>296</xdr:row>
      <xdr:rowOff>18779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44856AEA-1AC8-4AC6-A96A-AE27BD64D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1687175" y="56337890"/>
          <a:ext cx="3075534" cy="7546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33</xdr:row>
          <xdr:rowOff>161925</xdr:rowOff>
        </xdr:from>
        <xdr:to>
          <xdr:col>11</xdr:col>
          <xdr:colOff>133350</xdr:colOff>
          <xdr:row>35</xdr:row>
          <xdr:rowOff>161925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7CEFCAFF-42EF-4D2B-8FAF-F8C027659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Move Result to Output Table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609600</xdr:colOff>
      <xdr:row>26</xdr:row>
      <xdr:rowOff>1698</xdr:rowOff>
    </xdr:from>
    <xdr:to>
      <xdr:col>20</xdr:col>
      <xdr:colOff>245751</xdr:colOff>
      <xdr:row>32</xdr:row>
      <xdr:rowOff>56582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6C53C098-894E-48DE-A897-DE74D79F3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887325" y="4973748"/>
          <a:ext cx="3817626" cy="11407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723900</xdr:colOff>
          <xdr:row>33</xdr:row>
          <xdr:rowOff>138112</xdr:rowOff>
        </xdr:from>
        <xdr:to>
          <xdr:col>22</xdr:col>
          <xdr:colOff>152400</xdr:colOff>
          <xdr:row>35</xdr:row>
          <xdr:rowOff>138112</xdr:rowOff>
        </xdr:to>
        <xdr:sp macro="" textlink="">
          <xdr:nvSpPr>
            <xdr:cNvPr id="114693" name="Button 5" hidden="1">
              <a:extLst>
                <a:ext uri="{63B3BB69-23CF-44E3-9099-C40C66FF867C}">
                  <a14:compatExt spid="_x0000_s114693"/>
                </a:ext>
                <a:ext uri="{FF2B5EF4-FFF2-40B4-BE49-F238E27FC236}">
                  <a16:creationId xmlns:a16="http://schemas.microsoft.com/office/drawing/2014/main" id="{E002BB4F-418A-43A3-83B8-B93164647A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Design Summary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0</xdr:row>
      <xdr:rowOff>95250</xdr:rowOff>
    </xdr:from>
    <xdr:to>
      <xdr:col>2</xdr:col>
      <xdr:colOff>503200</xdr:colOff>
      <xdr:row>3</xdr:row>
      <xdr:rowOff>11292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D24BC2D-904D-46A8-86CE-86C16947E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95250"/>
          <a:ext cx="1531900" cy="4589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306457</xdr:colOff>
      <xdr:row>0</xdr:row>
      <xdr:rowOff>12427</xdr:rowOff>
    </xdr:from>
    <xdr:to>
      <xdr:col>4</xdr:col>
      <xdr:colOff>404625</xdr:colOff>
      <xdr:row>3</xdr:row>
      <xdr:rowOff>54337</xdr:rowOff>
    </xdr:to>
    <xdr:pic>
      <xdr:nvPicPr>
        <xdr:cNvPr id="2" name="RJClogo" descr="H:\RJC Spread Sheets\New_logo.jpg">
          <a:extLst>
            <a:ext uri="{FF2B5EF4-FFF2-40B4-BE49-F238E27FC236}">
              <a16:creationId xmlns:a16="http://schemas.microsoft.com/office/drawing/2014/main" id="{E05A50DB-D7E7-4376-B0C4-81BE20BAF9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6457" y="212452"/>
          <a:ext cx="2536568" cy="6134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KEL\098100\KEL.098141.0002%20-%20Coord%20Wood%20Frame%20Best%20Practice\Engineering\Revised_Rigid_Diaphragm_R2.xlsm" TargetMode="External"/><Relationship Id="rId1" Type="http://schemas.openxmlformats.org/officeDocument/2006/relationships/externalLinkPath" Target="file:///P:\KEL\098100\KEL.098141.0002%20-%20Coord%20Wood%20Frame%20Best%20Practice\Engineering\Revised_Rigid_Diaphragm_R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_template"/>
      <sheetName val="Rigid Template"/>
      <sheetName val="Flexible Template"/>
      <sheetName val="Revised_Rigid_Diaphragm_R2"/>
    </sheetNames>
    <definedNames>
      <definedName name="Button26_Click"/>
      <definedName name="Button27_Click"/>
    </definedNames>
    <sheetDataSet>
      <sheetData sheetId="0"/>
      <sheetData sheetId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rman Chowdhury" id="{26E1BA26-0B10-45C7-9673-E3B54332D47A}" userId="S::AChowdhury@rjc.ca::b38cba6f-a5de-4a6c-82b6-0051d10bfd4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0" dT="2025-06-12T14:04:48.85" personId="{26E1BA26-0B10-45C7-9673-E3B54332D47A}" id="{A72D4E10-6B79-45FA-B3CD-A02D80F6ACA6}">
    <text>Length of the shearwall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10" dT="2025-06-12T14:04:48.85" personId="{26E1BA26-0B10-45C7-9673-E3B54332D47A}" id="{8E60D451-F918-43DD-B1FE-40B12B5B79F4}">
    <text>Length of the shearwall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81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15C6A83-EE98-4074-8D6F-5D35850C8826}">
  <we:reference id="wa200008175" version="1.0.0.0" store="en-US" storeType="OMEX"/>
  <we:alternateReferences>
    <we:reference id="WA200008175" version="1.0.0.0" store="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cell = book.sheets[0][\&quot;A1\&quot;]\n    cell.value = \&quot;Hello World!\&quot;\n    cell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5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ctrlProp" Target="../ctrlProps/ctrlProp20.xml"/><Relationship Id="rId7" Type="http://schemas.openxmlformats.org/officeDocument/2006/relationships/ctrlProp" Target="../ctrlProps/ctrlProp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R66"/>
  <sheetViews>
    <sheetView showGridLines="0" topLeftCell="A24" zoomScaleNormal="100" workbookViewId="0">
      <selection activeCell="L22" sqref="L22"/>
    </sheetView>
  </sheetViews>
  <sheetFormatPr defaultRowHeight="15"/>
  <cols>
    <col min="5" max="5" width="8.85546875" bestFit="1" customWidth="1"/>
    <col min="7" max="7" width="11.7109375" bestFit="1" customWidth="1"/>
  </cols>
  <sheetData>
    <row r="1" spans="1:14">
      <c r="A1" s="15"/>
      <c r="B1" s="17"/>
      <c r="C1" s="17"/>
      <c r="D1" s="17"/>
      <c r="E1" s="17"/>
      <c r="F1" s="17"/>
      <c r="G1" s="206" t="s">
        <v>254</v>
      </c>
      <c r="H1" s="253" t="s">
        <v>255</v>
      </c>
      <c r="I1" s="254"/>
      <c r="J1" s="254"/>
      <c r="K1" s="254"/>
      <c r="L1" s="254"/>
      <c r="M1" s="254"/>
      <c r="N1" s="17"/>
    </row>
    <row r="2" spans="1:14">
      <c r="A2" s="15"/>
      <c r="B2" s="17"/>
      <c r="C2" s="17"/>
      <c r="D2" s="17"/>
      <c r="E2" s="17"/>
      <c r="F2" s="17"/>
      <c r="G2" s="206" t="s">
        <v>256</v>
      </c>
      <c r="H2" s="253" t="s">
        <v>257</v>
      </c>
      <c r="I2" s="253"/>
      <c r="J2" s="253"/>
      <c r="K2" s="253"/>
      <c r="L2" s="253"/>
      <c r="M2" s="253"/>
      <c r="N2" s="17"/>
    </row>
    <row r="3" spans="1:14">
      <c r="A3" s="15"/>
      <c r="B3" s="17"/>
      <c r="C3" s="17"/>
      <c r="D3" s="17"/>
      <c r="E3" s="17"/>
      <c r="F3" s="17"/>
      <c r="G3" s="206" t="s">
        <v>258</v>
      </c>
      <c r="H3" s="253" t="s">
        <v>317</v>
      </c>
      <c r="I3" s="253"/>
      <c r="J3" s="253"/>
      <c r="K3" s="106" t="s">
        <v>259</v>
      </c>
      <c r="L3" s="255">
        <f ca="1">NOW()</f>
        <v>45824.664205324072</v>
      </c>
      <c r="M3" s="255"/>
      <c r="N3" s="17"/>
    </row>
    <row r="8" spans="1:14">
      <c r="D8" s="18" t="s">
        <v>260</v>
      </c>
      <c r="K8" s="18" t="s">
        <v>497</v>
      </c>
    </row>
    <row r="10" spans="1:14">
      <c r="D10" s="136" t="s">
        <v>379</v>
      </c>
      <c r="E10" s="20" t="s">
        <v>116</v>
      </c>
      <c r="F10" s="136" t="s">
        <v>380</v>
      </c>
      <c r="G10" s="20"/>
      <c r="H10" s="20" t="s">
        <v>116</v>
      </c>
      <c r="I10" s="115">
        <v>6</v>
      </c>
      <c r="K10" s="136" t="s">
        <v>498</v>
      </c>
      <c r="L10" s="136"/>
      <c r="M10" s="136" t="s">
        <v>116</v>
      </c>
      <c r="N10" s="300" t="str">
        <f>Seismic_data!E21</f>
        <v>SC2</v>
      </c>
    </row>
    <row r="11" spans="1:14" ht="15.75">
      <c r="D11" s="17" t="s">
        <v>261</v>
      </c>
      <c r="E11" s="20" t="s">
        <v>116</v>
      </c>
      <c r="F11" s="17" t="s">
        <v>262</v>
      </c>
      <c r="H11" s="20" t="s">
        <v>116</v>
      </c>
      <c r="I11" s="115">
        <v>63.388490007639106</v>
      </c>
      <c r="J11" s="17" t="s">
        <v>263</v>
      </c>
      <c r="K11" s="136" t="s">
        <v>499</v>
      </c>
      <c r="L11" s="136"/>
      <c r="M11" s="136" t="s">
        <v>116</v>
      </c>
      <c r="N11" s="300">
        <f>Seismic_data!E30</f>
        <v>3</v>
      </c>
    </row>
    <row r="12" spans="1:14" ht="15.75">
      <c r="D12" s="17" t="s">
        <v>264</v>
      </c>
      <c r="E12" s="20" t="s">
        <v>116</v>
      </c>
      <c r="F12" s="17" t="s">
        <v>265</v>
      </c>
      <c r="H12" s="20" t="s">
        <v>116</v>
      </c>
      <c r="I12" s="115">
        <v>36.714404140063031</v>
      </c>
      <c r="J12" s="17" t="s">
        <v>263</v>
      </c>
      <c r="K12" s="136" t="s">
        <v>500</v>
      </c>
      <c r="L12" s="136"/>
      <c r="M12" s="136" t="s">
        <v>116</v>
      </c>
      <c r="N12" s="300">
        <f>Seismic_data!E31</f>
        <v>1.7</v>
      </c>
    </row>
    <row r="13" spans="1:14">
      <c r="D13" s="17"/>
      <c r="E13" s="20"/>
      <c r="F13" s="17"/>
      <c r="G13" s="15"/>
      <c r="H13" s="20"/>
      <c r="I13" s="116"/>
      <c r="J13" s="17"/>
    </row>
    <row r="14" spans="1:14">
      <c r="D14" s="18" t="s">
        <v>318</v>
      </c>
      <c r="E14" s="20"/>
      <c r="F14" s="17"/>
      <c r="G14" s="15"/>
      <c r="H14" s="20"/>
      <c r="I14" s="116"/>
      <c r="J14" s="17"/>
    </row>
    <row r="15" spans="1:14">
      <c r="D15" s="17"/>
      <c r="E15" s="20"/>
      <c r="F15" s="17"/>
      <c r="G15" s="15"/>
      <c r="H15" s="20"/>
      <c r="I15" s="116"/>
      <c r="J15" s="17"/>
    </row>
    <row r="16" spans="1:14" ht="15.75">
      <c r="D16" s="17" t="s">
        <v>319</v>
      </c>
      <c r="E16" s="20" t="s">
        <v>116</v>
      </c>
      <c r="F16" s="17" t="s">
        <v>269</v>
      </c>
      <c r="G16" s="15"/>
      <c r="H16" s="20" t="s">
        <v>116</v>
      </c>
      <c r="I16" s="115">
        <v>63.388490007639106</v>
      </c>
      <c r="J16" s="17" t="s">
        <v>263</v>
      </c>
    </row>
    <row r="17" spans="4:70" ht="15.75">
      <c r="D17" s="17" t="s">
        <v>320</v>
      </c>
      <c r="E17" s="20" t="s">
        <v>116</v>
      </c>
      <c r="F17" s="17" t="s">
        <v>272</v>
      </c>
      <c r="G17" s="15"/>
      <c r="H17" s="20" t="s">
        <v>116</v>
      </c>
      <c r="I17" s="115">
        <v>36.714404140063031</v>
      </c>
      <c r="J17" s="17" t="s">
        <v>263</v>
      </c>
    </row>
    <row r="18" spans="4:70">
      <c r="D18" s="17"/>
      <c r="E18" s="20"/>
      <c r="F18" s="17"/>
      <c r="G18" s="15"/>
      <c r="H18" s="20"/>
      <c r="I18" s="117"/>
      <c r="J18" s="17"/>
    </row>
    <row r="19" spans="4:70" ht="15.75">
      <c r="D19" s="17" t="s">
        <v>321</v>
      </c>
      <c r="E19" s="20" t="s">
        <v>116</v>
      </c>
      <c r="F19" s="17" t="s">
        <v>322</v>
      </c>
      <c r="G19" s="15"/>
      <c r="H19" s="20" t="s">
        <v>116</v>
      </c>
      <c r="I19" s="115">
        <v>0</v>
      </c>
      <c r="J19" s="17" t="s">
        <v>263</v>
      </c>
    </row>
    <row r="20" spans="4:70" ht="15.75">
      <c r="D20" s="118" t="s">
        <v>323</v>
      </c>
      <c r="E20" s="20" t="s">
        <v>116</v>
      </c>
      <c r="F20" s="17" t="s">
        <v>324</v>
      </c>
      <c r="G20" s="15"/>
      <c r="H20" s="20" t="s">
        <v>116</v>
      </c>
      <c r="I20" s="115">
        <v>0</v>
      </c>
      <c r="J20" s="17" t="s">
        <v>263</v>
      </c>
    </row>
    <row r="21" spans="4:70">
      <c r="D21" s="17"/>
      <c r="E21" s="20"/>
      <c r="F21" s="17"/>
      <c r="G21" s="15"/>
      <c r="H21" s="20"/>
      <c r="I21" s="116"/>
      <c r="J21" s="17"/>
    </row>
    <row r="22" spans="4:70">
      <c r="D22" s="17"/>
      <c r="E22" s="20"/>
      <c r="F22" s="17"/>
      <c r="G22" s="15"/>
      <c r="H22" s="20"/>
      <c r="I22" s="116"/>
      <c r="J22" s="17"/>
    </row>
    <row r="23" spans="4:70">
      <c r="D23" s="17" t="s">
        <v>122</v>
      </c>
      <c r="E23" s="20" t="s">
        <v>116</v>
      </c>
      <c r="F23" s="17" t="s">
        <v>391</v>
      </c>
      <c r="G23" s="15"/>
      <c r="H23" s="20" t="s">
        <v>116</v>
      </c>
      <c r="I23" s="176" t="s">
        <v>392</v>
      </c>
      <c r="J23" s="17"/>
    </row>
    <row r="24" spans="4:70">
      <c r="D24" s="17" t="s">
        <v>115</v>
      </c>
      <c r="E24" s="20" t="s">
        <v>116</v>
      </c>
      <c r="F24" s="17" t="s">
        <v>393</v>
      </c>
      <c r="G24" s="15"/>
      <c r="H24" s="20" t="s">
        <v>116</v>
      </c>
      <c r="I24" s="163">
        <v>4.5150000000000003E-2</v>
      </c>
      <c r="J24" s="17"/>
    </row>
    <row r="25" spans="4:70">
      <c r="D25" s="17"/>
      <c r="E25" s="20"/>
      <c r="F25" s="17"/>
      <c r="G25" s="15"/>
      <c r="H25" s="20"/>
      <c r="I25" s="117"/>
      <c r="J25" s="17"/>
    </row>
    <row r="26" spans="4:70">
      <c r="D26" s="164" t="s">
        <v>394</v>
      </c>
      <c r="E26" s="20"/>
      <c r="F26" s="17"/>
      <c r="G26" s="15"/>
      <c r="H26" s="20"/>
      <c r="I26" s="116"/>
      <c r="J26" s="17"/>
      <c r="N26" s="162"/>
    </row>
    <row r="27" spans="4:70">
      <c r="D27" s="165"/>
      <c r="E27" s="143"/>
      <c r="F27" s="165"/>
      <c r="G27" s="48"/>
      <c r="H27" s="143"/>
      <c r="I27" s="166"/>
      <c r="J27" s="165"/>
      <c r="K27" s="167"/>
    </row>
    <row r="28" spans="4:70">
      <c r="D28" s="168" t="s">
        <v>395</v>
      </c>
      <c r="E28" s="169"/>
      <c r="F28" s="170"/>
      <c r="G28" s="171"/>
      <c r="H28" s="169"/>
      <c r="I28" s="172"/>
      <c r="J28" s="170"/>
      <c r="K28" s="173"/>
      <c r="L28" s="174"/>
    </row>
    <row r="29" spans="4:70">
      <c r="D29" s="170"/>
      <c r="E29" s="169"/>
      <c r="F29" s="170"/>
      <c r="G29" s="173"/>
      <c r="H29" s="169"/>
      <c r="I29" s="172"/>
      <c r="J29" s="170"/>
      <c r="K29" s="173"/>
      <c r="L29" s="174"/>
    </row>
    <row r="30" spans="4:70">
      <c r="D30" s="173"/>
      <c r="E30" s="173"/>
      <c r="F30" s="173"/>
      <c r="G30" s="173"/>
      <c r="H30" s="173"/>
      <c r="I30" s="173"/>
      <c r="J30" s="173"/>
      <c r="K30" s="173"/>
      <c r="L30" s="174"/>
    </row>
    <row r="31" spans="4:70" s="15" customFormat="1" ht="14.25"/>
    <row r="32" spans="4:70" s="15" customFormat="1">
      <c r="D32" s="256" t="s">
        <v>374</v>
      </c>
      <c r="E32" s="256"/>
      <c r="F32" s="256"/>
      <c r="G32" s="256"/>
      <c r="H32" s="256"/>
      <c r="I32" s="119"/>
      <c r="J32" s="119"/>
      <c r="K32" s="256" t="s">
        <v>375</v>
      </c>
      <c r="L32" s="256"/>
      <c r="M32" s="256"/>
      <c r="N32" s="256"/>
      <c r="O32" s="256"/>
      <c r="P32" s="119"/>
      <c r="Q32" s="119"/>
      <c r="R32" s="120"/>
      <c r="T32" s="120"/>
      <c r="U32" s="120"/>
      <c r="V32" s="120"/>
      <c r="W32" s="120"/>
      <c r="X32" s="120"/>
      <c r="Y32" s="120"/>
      <c r="Z32" s="119"/>
      <c r="AA32" s="119"/>
      <c r="AB32" s="119"/>
      <c r="AC32" s="119"/>
      <c r="AD32" s="120"/>
      <c r="AE32" s="120"/>
      <c r="AF32" s="120"/>
      <c r="AG32" s="120"/>
      <c r="AH32" s="119"/>
      <c r="AI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  <c r="AX32" s="119"/>
      <c r="AY32" s="119"/>
      <c r="AZ32" s="119"/>
      <c r="BA32" s="120"/>
      <c r="BB32" s="120"/>
      <c r="BC32" s="120"/>
      <c r="BD32" s="120"/>
      <c r="BE32" s="120"/>
      <c r="BF32" s="120"/>
      <c r="BG32" s="120"/>
      <c r="BH32" s="120"/>
      <c r="BI32" s="119"/>
      <c r="BJ32" s="119"/>
      <c r="BK32" s="119"/>
      <c r="BL32" s="119"/>
      <c r="BM32" s="120"/>
      <c r="BN32" s="120"/>
      <c r="BO32" s="120"/>
      <c r="BP32" s="120"/>
      <c r="BQ32" s="119"/>
      <c r="BR32" s="119"/>
    </row>
    <row r="33" spans="4:70" s="15" customFormat="1" ht="30">
      <c r="D33" s="121" t="s">
        <v>325</v>
      </c>
      <c r="E33" s="121" t="s">
        <v>291</v>
      </c>
      <c r="F33" s="121" t="s">
        <v>292</v>
      </c>
      <c r="G33" s="122" t="s">
        <v>326</v>
      </c>
      <c r="H33" s="122" t="s">
        <v>327</v>
      </c>
      <c r="I33" s="123"/>
      <c r="J33" s="123"/>
      <c r="K33" s="121" t="s">
        <v>325</v>
      </c>
      <c r="L33" s="121" t="s">
        <v>291</v>
      </c>
      <c r="M33" s="121" t="s">
        <v>292</v>
      </c>
      <c r="N33" s="122" t="s">
        <v>326</v>
      </c>
      <c r="O33" s="122" t="s">
        <v>327</v>
      </c>
      <c r="P33" s="123"/>
      <c r="Q33" s="123"/>
      <c r="S33" s="222" t="s">
        <v>431</v>
      </c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L33" s="123"/>
      <c r="AM33" s="123"/>
      <c r="AN33" s="123"/>
      <c r="AO33" s="123"/>
      <c r="AP33" s="123"/>
      <c r="AQ33" s="123"/>
      <c r="AR33" s="123"/>
      <c r="AS33" s="123"/>
      <c r="AT33" s="123"/>
      <c r="AU33" s="123"/>
      <c r="AV33" s="123"/>
      <c r="AW33" s="123"/>
      <c r="AX33" s="123"/>
      <c r="AY33" s="123"/>
      <c r="AZ33" s="123"/>
      <c r="BA33" s="123"/>
      <c r="BB33" s="123"/>
      <c r="BC33" s="123"/>
      <c r="BD33" s="123"/>
      <c r="BE33" s="123"/>
      <c r="BF33" s="123"/>
      <c r="BG33" s="123"/>
      <c r="BH33" s="123"/>
      <c r="BI33" s="123"/>
      <c r="BJ33" s="123"/>
      <c r="BK33" s="123"/>
      <c r="BL33" s="123"/>
      <c r="BM33" s="123"/>
      <c r="BN33" s="123"/>
      <c r="BO33" s="123"/>
      <c r="BP33" s="123"/>
      <c r="BQ33" s="123"/>
      <c r="BR33" s="123"/>
    </row>
    <row r="34" spans="4:70" s="15" customFormat="1" ht="14.25">
      <c r="D34" s="84" t="s">
        <v>314</v>
      </c>
      <c r="E34" s="108">
        <v>6.4552761000000061</v>
      </c>
      <c r="F34" s="84"/>
      <c r="G34" s="108">
        <v>64.647530849999995</v>
      </c>
      <c r="H34" s="108">
        <v>60.017443499999999</v>
      </c>
      <c r="I34" s="88"/>
      <c r="J34" s="88"/>
      <c r="K34" s="84" t="s">
        <v>293</v>
      </c>
      <c r="L34" s="108">
        <v>3.3716665500000147</v>
      </c>
      <c r="M34" s="84"/>
      <c r="N34" s="114">
        <v>64.647530849999995</v>
      </c>
      <c r="O34" s="114">
        <v>62.607969900000001</v>
      </c>
    </row>
    <row r="35" spans="4:70" s="15" customFormat="1" ht="14.25">
      <c r="D35" s="84" t="s">
        <v>294</v>
      </c>
      <c r="E35" s="108">
        <v>5.9934367500000008</v>
      </c>
      <c r="F35" s="84"/>
      <c r="G35" s="108">
        <v>62.813041200000008</v>
      </c>
      <c r="H35" s="108">
        <v>48.321561750000001</v>
      </c>
      <c r="I35" s="88"/>
      <c r="J35" s="88"/>
      <c r="K35" s="84" t="s">
        <v>295</v>
      </c>
      <c r="L35" s="108">
        <v>4.0521221999999995</v>
      </c>
      <c r="M35" s="84"/>
      <c r="N35" s="114">
        <v>69.716385900000006</v>
      </c>
      <c r="O35" s="114">
        <v>62.607969900000001</v>
      </c>
      <c r="S35" s="15" t="s">
        <v>427</v>
      </c>
    </row>
    <row r="36" spans="4:70">
      <c r="D36" s="84" t="s">
        <v>296</v>
      </c>
      <c r="E36" s="108">
        <v>4.6430995799999977</v>
      </c>
      <c r="F36" s="84"/>
      <c r="G36" s="108">
        <v>62.813041200000008</v>
      </c>
      <c r="H36" s="108">
        <v>42.309965670000004</v>
      </c>
      <c r="I36" s="88"/>
      <c r="J36" s="88"/>
      <c r="K36" s="84" t="s">
        <v>297</v>
      </c>
      <c r="L36" s="108">
        <v>5.7082241999999894</v>
      </c>
      <c r="M36" s="84"/>
      <c r="N36" s="114">
        <v>66.438179850000012</v>
      </c>
      <c r="O36" s="114">
        <v>54.0538509</v>
      </c>
      <c r="P36" s="15"/>
      <c r="Q36" s="15"/>
      <c r="S36" s="15" t="s">
        <v>428</v>
      </c>
      <c r="T36" s="15"/>
      <c r="U36" s="15"/>
      <c r="V36" s="15"/>
      <c r="W36" s="15"/>
    </row>
    <row r="37" spans="4:70">
      <c r="D37" s="84" t="s">
        <v>298</v>
      </c>
      <c r="E37" s="108">
        <v>4.6186914900000033</v>
      </c>
      <c r="F37" s="84"/>
      <c r="G37" s="108">
        <v>62.812770300000004</v>
      </c>
      <c r="H37" s="108">
        <v>29.335115354999999</v>
      </c>
      <c r="I37" s="88"/>
      <c r="J37" s="88"/>
      <c r="K37" s="84" t="s">
        <v>299</v>
      </c>
      <c r="L37" s="108">
        <v>9.2031953999999985</v>
      </c>
      <c r="M37" s="84"/>
      <c r="N37" s="114">
        <v>64.565312700000007</v>
      </c>
      <c r="O37" s="114">
        <v>51.200596650000001</v>
      </c>
      <c r="P37" s="15"/>
      <c r="Q37" s="15"/>
      <c r="S37" s="15" t="s">
        <v>429</v>
      </c>
      <c r="T37" s="15"/>
      <c r="U37" s="15"/>
      <c r="V37" s="15"/>
      <c r="W37" s="15"/>
    </row>
    <row r="38" spans="4:70">
      <c r="D38" s="84" t="s">
        <v>300</v>
      </c>
      <c r="E38" s="108">
        <v>5.9670962400000001</v>
      </c>
      <c r="F38" s="84"/>
      <c r="G38" s="108">
        <v>62.813041200000008</v>
      </c>
      <c r="H38" s="108">
        <v>22.102374315000002</v>
      </c>
      <c r="I38" s="88"/>
      <c r="J38" s="88"/>
      <c r="K38" s="84" t="s">
        <v>301</v>
      </c>
      <c r="L38" s="108">
        <v>6.0096004500000006</v>
      </c>
      <c r="M38" s="84"/>
      <c r="N38" s="114">
        <v>56.721403200000005</v>
      </c>
      <c r="O38" s="114">
        <v>44.739726465000004</v>
      </c>
      <c r="P38" s="15"/>
      <c r="Q38" s="15"/>
      <c r="S38" s="15" t="s">
        <v>430</v>
      </c>
      <c r="T38" s="15"/>
      <c r="U38" s="15"/>
      <c r="V38" s="15"/>
      <c r="W38" s="15"/>
    </row>
    <row r="39" spans="4:70">
      <c r="D39" s="84" t="s">
        <v>266</v>
      </c>
      <c r="E39" s="108">
        <v>3.9056872050000013</v>
      </c>
      <c r="F39" s="84"/>
      <c r="G39" s="108">
        <v>65.475852750000001</v>
      </c>
      <c r="H39" s="108">
        <v>15.115217670000002</v>
      </c>
      <c r="I39" s="88"/>
      <c r="J39" s="88"/>
      <c r="K39" s="84" t="s">
        <v>302</v>
      </c>
      <c r="L39" s="108">
        <v>7.5435717000000011</v>
      </c>
      <c r="M39" s="84"/>
      <c r="N39" s="114">
        <v>55.269469500000007</v>
      </c>
      <c r="O39" s="114">
        <v>38.198764695000001</v>
      </c>
      <c r="P39" s="15"/>
      <c r="Q39" s="15"/>
      <c r="S39" s="15"/>
      <c r="T39" s="15"/>
      <c r="U39" s="15"/>
      <c r="V39" s="15"/>
      <c r="W39" s="15"/>
    </row>
    <row r="40" spans="4:70">
      <c r="D40" s="84" t="s">
        <v>267</v>
      </c>
      <c r="E40" s="108">
        <v>2.4770960549999987</v>
      </c>
      <c r="F40" s="84"/>
      <c r="G40" s="108">
        <v>62.813041200000008</v>
      </c>
      <c r="H40" s="108">
        <v>13.038326700000002</v>
      </c>
      <c r="I40" s="88"/>
      <c r="J40" s="88"/>
      <c r="K40" s="84" t="s">
        <v>303</v>
      </c>
      <c r="L40" s="108">
        <v>6.1976953500000036</v>
      </c>
      <c r="M40" s="84"/>
      <c r="N40" s="114">
        <v>67.570812750000002</v>
      </c>
      <c r="O40" s="114">
        <v>31.68268509</v>
      </c>
      <c r="P40" s="15"/>
      <c r="Q40" s="15"/>
      <c r="S40" s="15"/>
      <c r="T40" s="15"/>
      <c r="U40" s="15"/>
      <c r="V40" s="15"/>
      <c r="W40" s="15"/>
    </row>
    <row r="41" spans="4:70">
      <c r="D41" s="84" t="s">
        <v>270</v>
      </c>
      <c r="E41" s="108">
        <v>4.6431176399999998</v>
      </c>
      <c r="F41" s="84"/>
      <c r="G41" s="108">
        <v>64.590732149999994</v>
      </c>
      <c r="H41" s="108">
        <v>42.418172160000005</v>
      </c>
      <c r="I41" s="88"/>
      <c r="J41" s="88"/>
      <c r="K41" s="84" t="s">
        <v>304</v>
      </c>
      <c r="L41" s="108">
        <v>9.1170492000000039</v>
      </c>
      <c r="M41" s="84"/>
      <c r="N41" s="114">
        <v>53.613954450000001</v>
      </c>
      <c r="O41" s="114">
        <v>31.672119989999999</v>
      </c>
      <c r="P41" s="15"/>
      <c r="Q41" s="15"/>
      <c r="S41" s="15"/>
      <c r="T41" s="15"/>
      <c r="U41" s="15"/>
      <c r="V41" s="15"/>
      <c r="W41" s="15"/>
    </row>
    <row r="42" spans="4:70">
      <c r="D42" s="84" t="s">
        <v>273</v>
      </c>
      <c r="E42" s="108">
        <v>6.0409119749999931</v>
      </c>
      <c r="F42" s="84"/>
      <c r="G42" s="108">
        <v>64.590732149999994</v>
      </c>
      <c r="H42" s="108">
        <v>35.163501765000007</v>
      </c>
      <c r="I42" s="88"/>
      <c r="J42" s="88"/>
      <c r="K42" s="84" t="s">
        <v>305</v>
      </c>
      <c r="L42" s="108">
        <v>7.5810913499999941</v>
      </c>
      <c r="M42" s="84"/>
      <c r="N42" s="114">
        <v>64.565312700000007</v>
      </c>
      <c r="O42" s="114">
        <v>24.428226900000002</v>
      </c>
      <c r="P42" s="15"/>
      <c r="Q42" s="15"/>
      <c r="S42" s="15"/>
      <c r="T42" s="15"/>
      <c r="U42" s="15"/>
      <c r="V42" s="15"/>
      <c r="W42" s="15"/>
    </row>
    <row r="43" spans="4:70">
      <c r="D43" s="84" t="s">
        <v>274</v>
      </c>
      <c r="E43" s="108">
        <v>6.0261027749999982</v>
      </c>
      <c r="F43" s="84"/>
      <c r="G43" s="108">
        <v>62.811325500000009</v>
      </c>
      <c r="H43" s="108">
        <v>35.178310965000001</v>
      </c>
      <c r="I43" s="88"/>
      <c r="J43" s="88"/>
      <c r="K43" s="84" t="s">
        <v>306</v>
      </c>
      <c r="L43" s="108">
        <v>4.6811971500000027</v>
      </c>
      <c r="M43" s="84"/>
      <c r="N43" s="114">
        <v>65.475852750000001</v>
      </c>
      <c r="O43" s="114">
        <v>20.193536160000001</v>
      </c>
      <c r="P43" s="15"/>
      <c r="Q43" s="15"/>
      <c r="S43" s="15"/>
      <c r="T43" s="15"/>
      <c r="U43" s="15"/>
      <c r="V43" s="15"/>
      <c r="W43" s="15"/>
    </row>
    <row r="44" spans="4:70">
      <c r="D44" s="84" t="s">
        <v>277</v>
      </c>
      <c r="E44" s="108">
        <v>10.586772000000003</v>
      </c>
      <c r="F44" s="84"/>
      <c r="G44" s="108">
        <v>77.593074299999998</v>
      </c>
      <c r="H44" s="108">
        <v>48.696984</v>
      </c>
      <c r="I44" s="88"/>
      <c r="J44" s="88"/>
      <c r="K44" s="84" t="s">
        <v>307</v>
      </c>
      <c r="L44" s="108">
        <v>3.6417086999999952</v>
      </c>
      <c r="M44" s="84"/>
      <c r="N44" s="114">
        <v>64.565312700000007</v>
      </c>
      <c r="O44" s="114">
        <v>15.115217670000002</v>
      </c>
      <c r="P44" s="15"/>
      <c r="Q44" s="15"/>
    </row>
    <row r="45" spans="4:70">
      <c r="D45" s="84" t="s">
        <v>280</v>
      </c>
      <c r="E45" s="108">
        <v>4.0381708499999931</v>
      </c>
      <c r="F45" s="84"/>
      <c r="G45" s="108">
        <v>82.53731535</v>
      </c>
      <c r="H45" s="108">
        <v>55.245585150000011</v>
      </c>
      <c r="I45" s="88"/>
      <c r="J45" s="88"/>
      <c r="K45" s="84" t="s">
        <v>308</v>
      </c>
      <c r="L45" s="108">
        <v>7.4615341499999985</v>
      </c>
      <c r="M45" s="84"/>
      <c r="N45" s="114">
        <v>55.269469500000007</v>
      </c>
      <c r="O45" s="114">
        <v>57.784189050000002</v>
      </c>
      <c r="P45" s="15"/>
      <c r="Q45" s="15"/>
    </row>
    <row r="46" spans="4:70">
      <c r="D46" s="84" t="s">
        <v>281</v>
      </c>
      <c r="E46" s="108">
        <v>8.663377484999998</v>
      </c>
      <c r="F46" s="84"/>
      <c r="G46" s="108">
        <v>54.794942999999996</v>
      </c>
      <c r="H46" s="108">
        <v>38.159971814999999</v>
      </c>
      <c r="I46" s="88"/>
      <c r="J46" s="88"/>
      <c r="K46" s="84" t="s">
        <v>309</v>
      </c>
      <c r="L46" s="108">
        <v>7.4615341499999985</v>
      </c>
      <c r="M46" s="84"/>
      <c r="N46" s="114">
        <v>55.269469500000007</v>
      </c>
      <c r="O46" s="114">
        <v>51.236942400000004</v>
      </c>
      <c r="P46" s="15"/>
      <c r="Q46" s="15"/>
    </row>
    <row r="47" spans="4:70">
      <c r="D47" s="84" t="s">
        <v>282</v>
      </c>
      <c r="E47" s="108"/>
      <c r="F47" s="84"/>
      <c r="G47" s="108"/>
      <c r="H47" s="108"/>
      <c r="I47" s="88"/>
      <c r="J47" s="88"/>
      <c r="K47" s="84" t="s">
        <v>310</v>
      </c>
      <c r="L47" s="108">
        <v>7.5810913499999941</v>
      </c>
      <c r="M47" s="84"/>
      <c r="N47" s="114">
        <v>55.167204750000003</v>
      </c>
      <c r="O47" s="114">
        <v>25.162402019999998</v>
      </c>
      <c r="P47" s="15"/>
      <c r="Q47" s="15"/>
    </row>
    <row r="48" spans="4:70">
      <c r="D48" s="84" t="s">
        <v>283</v>
      </c>
      <c r="E48" s="108"/>
      <c r="F48" s="84"/>
      <c r="G48" s="108"/>
      <c r="H48" s="108"/>
      <c r="I48" s="88"/>
      <c r="J48" s="88"/>
      <c r="K48" s="84" t="s">
        <v>311</v>
      </c>
      <c r="L48" s="108">
        <v>9.1990867500000064</v>
      </c>
      <c r="M48" s="84"/>
      <c r="N48" s="114">
        <v>53.613954450000001</v>
      </c>
      <c r="O48" s="114">
        <v>18.643825620000001</v>
      </c>
      <c r="P48" s="15"/>
      <c r="Q48" s="15"/>
    </row>
    <row r="49" spans="4:17">
      <c r="D49" s="84" t="s">
        <v>284</v>
      </c>
      <c r="E49" s="108"/>
      <c r="F49" s="84"/>
      <c r="G49" s="108"/>
      <c r="H49" s="108"/>
      <c r="I49" s="88"/>
      <c r="J49" s="88"/>
      <c r="K49" s="84" t="s">
        <v>312</v>
      </c>
      <c r="L49" s="108">
        <v>5.5788242999999937</v>
      </c>
      <c r="M49" s="84"/>
      <c r="N49" s="114">
        <v>68.108142900000004</v>
      </c>
      <c r="O49" s="114">
        <v>14.470529850000002</v>
      </c>
      <c r="P49" s="15"/>
      <c r="Q49" s="15"/>
    </row>
    <row r="50" spans="4:17">
      <c r="D50" s="84" t="s">
        <v>285</v>
      </c>
      <c r="E50" s="108"/>
      <c r="F50" s="84"/>
      <c r="G50" s="108"/>
      <c r="H50" s="108"/>
      <c r="I50" s="88"/>
      <c r="J50" s="88"/>
      <c r="K50" s="84" t="s">
        <v>313</v>
      </c>
      <c r="L50" s="108">
        <v>5.6131383000000028</v>
      </c>
      <c r="M50" s="84"/>
      <c r="N50" s="114">
        <v>63.553772100000003</v>
      </c>
      <c r="O50" s="114">
        <v>7.7122024350000009</v>
      </c>
      <c r="P50" s="15"/>
      <c r="Q50" s="15"/>
    </row>
    <row r="51" spans="4:17">
      <c r="D51" s="84" t="s">
        <v>288</v>
      </c>
      <c r="E51" s="108"/>
      <c r="F51" s="84"/>
      <c r="G51" s="108"/>
      <c r="H51" s="108"/>
      <c r="I51" s="88"/>
      <c r="J51" s="88"/>
      <c r="K51" s="84" t="s">
        <v>387</v>
      </c>
      <c r="L51" s="108"/>
      <c r="M51" s="84"/>
      <c r="N51" s="114"/>
      <c r="O51" s="114"/>
      <c r="P51" s="15"/>
      <c r="Q51" s="15"/>
    </row>
    <row r="52" spans="4:17">
      <c r="D52" s="84" t="s">
        <v>289</v>
      </c>
      <c r="E52" s="108"/>
      <c r="F52" s="84"/>
      <c r="G52" s="108"/>
      <c r="H52" s="108"/>
      <c r="I52" s="88"/>
      <c r="J52" s="88"/>
      <c r="K52" s="84" t="s">
        <v>388</v>
      </c>
      <c r="L52" s="108"/>
      <c r="M52" s="84"/>
      <c r="N52" s="114"/>
      <c r="O52" s="114"/>
      <c r="P52" s="15"/>
      <c r="Q52" s="15"/>
    </row>
    <row r="53" spans="4:17">
      <c r="D53" s="84" t="s">
        <v>290</v>
      </c>
      <c r="E53" s="108"/>
      <c r="F53" s="84"/>
      <c r="G53" s="108"/>
      <c r="H53" s="108"/>
      <c r="I53" s="88"/>
      <c r="J53" s="88"/>
      <c r="K53" s="84" t="s">
        <v>389</v>
      </c>
      <c r="L53" s="108"/>
      <c r="M53" s="84"/>
      <c r="N53" s="114"/>
      <c r="O53" s="114"/>
      <c r="P53" s="15"/>
      <c r="Q53" s="15"/>
    </row>
    <row r="54" spans="4:17">
      <c r="D54" s="84"/>
      <c r="E54" s="108"/>
      <c r="F54" s="84"/>
      <c r="G54" s="108"/>
      <c r="H54" s="108"/>
      <c r="I54" s="88"/>
      <c r="J54" s="88"/>
      <c r="K54" s="84"/>
      <c r="L54" s="108"/>
      <c r="M54" s="84"/>
      <c r="N54" s="114"/>
      <c r="O54" s="114"/>
      <c r="P54" s="15"/>
      <c r="Q54" s="15"/>
    </row>
    <row r="55" spans="4:17">
      <c r="D55" s="84"/>
      <c r="E55" s="108"/>
      <c r="F55" s="84"/>
      <c r="G55" s="108"/>
      <c r="H55" s="108"/>
      <c r="I55" s="88"/>
      <c r="J55" s="88"/>
      <c r="K55" s="84"/>
      <c r="L55" s="108"/>
      <c r="M55" s="84"/>
      <c r="N55" s="114"/>
      <c r="O55" s="114"/>
      <c r="P55" s="15"/>
      <c r="Q55" s="15"/>
    </row>
    <row r="56" spans="4:17">
      <c r="I56" s="88"/>
      <c r="J56" s="88"/>
      <c r="K56" s="15"/>
      <c r="L56" s="15"/>
      <c r="M56" s="15"/>
      <c r="N56" s="15"/>
      <c r="O56" s="15"/>
      <c r="P56" s="15"/>
      <c r="Q56" s="15"/>
    </row>
    <row r="57" spans="4:17">
      <c r="I57" s="88"/>
      <c r="J57" s="88"/>
      <c r="K57" s="15"/>
      <c r="L57" s="15"/>
      <c r="M57" s="15"/>
      <c r="N57" s="15"/>
      <c r="O57" s="15"/>
      <c r="P57" s="15"/>
      <c r="Q57" s="15"/>
    </row>
    <row r="58" spans="4:17">
      <c r="I58" s="88"/>
      <c r="J58" s="88"/>
      <c r="K58" s="15"/>
      <c r="L58" s="15"/>
      <c r="M58" s="15"/>
      <c r="N58" s="15"/>
      <c r="O58" s="15"/>
      <c r="P58" s="15"/>
      <c r="Q58" s="15"/>
    </row>
    <row r="59" spans="4:17" ht="15" customHeight="1">
      <c r="D59" s="252" t="s">
        <v>426</v>
      </c>
      <c r="E59" s="252"/>
      <c r="F59" s="252"/>
      <c r="G59" s="252"/>
      <c r="I59" s="88"/>
      <c r="J59" s="88"/>
      <c r="K59" s="15"/>
      <c r="L59" s="15"/>
      <c r="M59" s="15"/>
      <c r="N59" s="15"/>
      <c r="O59" s="15"/>
      <c r="P59" s="15"/>
      <c r="Q59" s="15"/>
    </row>
    <row r="60" spans="4:17" ht="60">
      <c r="D60" s="137" t="s">
        <v>376</v>
      </c>
      <c r="E60" s="137" t="s">
        <v>377</v>
      </c>
      <c r="F60" s="137" t="s">
        <v>378</v>
      </c>
      <c r="G60" s="175" t="s">
        <v>381</v>
      </c>
      <c r="I60" s="88"/>
      <c r="J60" s="88"/>
      <c r="K60" s="15"/>
      <c r="L60" s="15"/>
      <c r="M60" s="15"/>
      <c r="N60" s="15"/>
      <c r="O60" s="15"/>
      <c r="P60" s="15"/>
      <c r="Q60" s="15"/>
    </row>
    <row r="61" spans="4:17">
      <c r="D61" s="135" t="s">
        <v>19</v>
      </c>
      <c r="E61" s="108">
        <v>200</v>
      </c>
      <c r="F61" s="108">
        <v>10</v>
      </c>
      <c r="G61" s="108">
        <v>200</v>
      </c>
      <c r="M61" s="108">
        <v>200</v>
      </c>
      <c r="N61" s="108">
        <v>10</v>
      </c>
      <c r="O61" s="108">
        <v>200</v>
      </c>
    </row>
    <row r="62" spans="4:17">
      <c r="D62" s="135">
        <v>5</v>
      </c>
      <c r="E62" s="108">
        <v>300</v>
      </c>
      <c r="F62" s="108">
        <v>200</v>
      </c>
      <c r="G62" s="108">
        <v>300</v>
      </c>
      <c r="M62" s="108">
        <v>300</v>
      </c>
      <c r="N62" s="108">
        <v>200</v>
      </c>
      <c r="O62" s="108">
        <v>300</v>
      </c>
    </row>
    <row r="63" spans="4:17">
      <c r="D63" s="135">
        <v>4</v>
      </c>
      <c r="E63" s="108">
        <v>400</v>
      </c>
      <c r="F63" s="108">
        <v>300</v>
      </c>
      <c r="G63" s="108">
        <v>400</v>
      </c>
      <c r="M63" s="108">
        <v>400</v>
      </c>
      <c r="N63" s="108">
        <v>300</v>
      </c>
      <c r="O63" s="108">
        <v>400</v>
      </c>
    </row>
    <row r="64" spans="4:17">
      <c r="D64" s="135">
        <v>3</v>
      </c>
      <c r="E64" s="108">
        <v>300</v>
      </c>
      <c r="F64" s="108">
        <v>200</v>
      </c>
      <c r="G64" s="108">
        <v>300</v>
      </c>
    </row>
    <row r="65" spans="4:7">
      <c r="D65" s="135">
        <v>2</v>
      </c>
      <c r="E65" s="108">
        <v>400</v>
      </c>
      <c r="F65" s="108">
        <v>300</v>
      </c>
      <c r="G65" s="108">
        <v>400</v>
      </c>
    </row>
    <row r="66" spans="4:7">
      <c r="D66" s="138">
        <v>1</v>
      </c>
      <c r="E66" s="124">
        <v>200</v>
      </c>
      <c r="F66" s="124">
        <v>100</v>
      </c>
      <c r="G66" s="124">
        <v>300</v>
      </c>
    </row>
  </sheetData>
  <mergeCells count="7">
    <mergeCell ref="D59:G59"/>
    <mergeCell ref="H1:M1"/>
    <mergeCell ref="H2:M2"/>
    <mergeCell ref="H3:J3"/>
    <mergeCell ref="L3:M3"/>
    <mergeCell ref="D32:H32"/>
    <mergeCell ref="K32:O32"/>
  </mergeCells>
  <phoneticPr fontId="32" type="noConversion"/>
  <dataValidations disablePrompts="1" count="1">
    <dataValidation type="list" allowBlank="1" showInputMessage="1" showErrorMessage="1" sqref="I10" xr:uid="{BCEACC09-328D-4286-98C1-D5B681971FA1}">
      <formula1>"1,2,3,4,5,6"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RunAnalysis">
                <anchor moveWithCells="1">
                  <from>
                    <xdr:col>15</xdr:col>
                    <xdr:colOff>361950</xdr:colOff>
                    <xdr:row>4</xdr:row>
                    <xdr:rowOff>142875</xdr:rowOff>
                  </from>
                  <to>
                    <xdr:col>20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Module1.CreateSheetsFromWallLists">
                <anchor moveWithCells="1">
                  <from>
                    <xdr:col>15</xdr:col>
                    <xdr:colOff>361950</xdr:colOff>
                    <xdr:row>12</xdr:row>
                    <xdr:rowOff>95250</xdr:rowOff>
                  </from>
                  <to>
                    <xdr:col>20</xdr:col>
                    <xdr:colOff>457200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Button 5">
              <controlPr defaultSize="0" print="0" autoFill="0" autoPict="0" macro="[0]!Module1.DeleteAllWallSheetsExceptBase">
                <anchor moveWithCells="1">
                  <from>
                    <xdr:col>15</xdr:col>
                    <xdr:colOff>361950</xdr:colOff>
                    <xdr:row>23</xdr:row>
                    <xdr:rowOff>95250</xdr:rowOff>
                  </from>
                  <to>
                    <xdr:col>20</xdr:col>
                    <xdr:colOff>457200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6" name="Button 6">
              <controlPr defaultSize="0" print="0" autoFill="0" autoPict="0" macro="[1]!Button26_Click">
                <anchor moveWithCells="1">
                  <from>
                    <xdr:col>15</xdr:col>
                    <xdr:colOff>361950</xdr:colOff>
                    <xdr:row>17</xdr:row>
                    <xdr:rowOff>76200</xdr:rowOff>
                  </from>
                  <to>
                    <xdr:col>20</xdr:col>
                    <xdr:colOff>419100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7" name="Button 7">
              <controlPr defaultSize="0" print="0" autoFill="0" autoPict="0" macro="[1]!Button27_Click">
                <anchor moveWithCells="1">
                  <from>
                    <xdr:col>15</xdr:col>
                    <xdr:colOff>361950</xdr:colOff>
                    <xdr:row>20</xdr:row>
                    <xdr:rowOff>104775</xdr:rowOff>
                  </from>
                  <to>
                    <xdr:col>20</xdr:col>
                    <xdr:colOff>438150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8" name="Button 11">
              <controlPr defaultSize="0" print="0" autoFill="0" autoPict="0" macro="[0]!CreateDirectionalWallSheetsPerStorey">
                <anchor moveWithCells="1">
                  <from>
                    <xdr:col>15</xdr:col>
                    <xdr:colOff>361950</xdr:colOff>
                    <xdr:row>7</xdr:row>
                    <xdr:rowOff>76200</xdr:rowOff>
                  </from>
                  <to>
                    <xdr:col>20</xdr:col>
                    <xdr:colOff>457200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9" name="Button 12">
              <controlPr defaultSize="0" print="0" autoFill="0" autoPict="0" macro="[0]!PasteLoadDataIntoDirectionalSheets">
                <anchor moveWithCells="1">
                  <from>
                    <xdr:col>15</xdr:col>
                    <xdr:colOff>361950</xdr:colOff>
                    <xdr:row>9</xdr:row>
                    <xdr:rowOff>180975</xdr:rowOff>
                  </from>
                  <to>
                    <xdr:col>20</xdr:col>
                    <xdr:colOff>457200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10" name="Button 20">
              <controlPr defaultSize="0" print="0" autoFill="0" autoPict="0" macro="[0]!ExportDiaphragmForcesToWalls">
                <anchor moveWithCells="1">
                  <from>
                    <xdr:col>15</xdr:col>
                    <xdr:colOff>361950</xdr:colOff>
                    <xdr:row>15</xdr:row>
                    <xdr:rowOff>9525</xdr:rowOff>
                  </from>
                  <to>
                    <xdr:col>20</xdr:col>
                    <xdr:colOff>457200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1:AJ97"/>
  <sheetViews>
    <sheetView showGridLines="0" zoomScaleNormal="100" workbookViewId="0">
      <selection activeCell="U11" sqref="U11"/>
    </sheetView>
  </sheetViews>
  <sheetFormatPr defaultRowHeight="14.25"/>
  <cols>
    <col min="1" max="4" width="9.140625" style="15"/>
    <col min="5" max="6" width="9.28515625" style="15" bestFit="1" customWidth="1"/>
    <col min="7" max="7" width="9.140625" style="15"/>
    <col min="8" max="8" width="9" style="15" bestFit="1" customWidth="1"/>
    <col min="9" max="15" width="9.28515625" style="15" bestFit="1" customWidth="1"/>
    <col min="16" max="16" width="10.7109375" style="15" bestFit="1" customWidth="1"/>
    <col min="17" max="20" width="9.28515625" style="15" bestFit="1" customWidth="1"/>
    <col min="21" max="21" width="10" style="15" bestFit="1" customWidth="1"/>
    <col min="22" max="22" width="12" style="15" bestFit="1" customWidth="1"/>
    <col min="23" max="23" width="14.42578125" style="15" bestFit="1" customWidth="1"/>
    <col min="24" max="31" width="9.28515625" style="15" bestFit="1" customWidth="1"/>
    <col min="32" max="32" width="12.7109375" style="15" customWidth="1"/>
    <col min="33" max="33" width="9.28515625" style="15" bestFit="1" customWidth="1"/>
    <col min="34" max="34" width="12.5703125" style="15" bestFit="1" customWidth="1"/>
    <col min="35" max="36" width="9.28515625" style="15" bestFit="1" customWidth="1"/>
    <col min="37" max="16384" width="9.140625" style="15"/>
  </cols>
  <sheetData>
    <row r="1" spans="2:15">
      <c r="B1" s="17"/>
      <c r="C1" s="17"/>
      <c r="D1" s="17"/>
      <c r="E1" s="17"/>
      <c r="F1" s="17"/>
      <c r="G1" s="105"/>
      <c r="H1" s="206" t="s">
        <v>254</v>
      </c>
      <c r="I1" s="253" t="s">
        <v>255</v>
      </c>
      <c r="J1" s="254"/>
      <c r="K1" s="254"/>
      <c r="L1" s="254"/>
      <c r="M1" s="254"/>
      <c r="N1" s="254"/>
      <c r="O1" s="17"/>
    </row>
    <row r="2" spans="2:15">
      <c r="B2" s="17"/>
      <c r="C2" s="17"/>
      <c r="D2" s="17"/>
      <c r="E2" s="17"/>
      <c r="F2" s="17"/>
      <c r="G2" s="105"/>
      <c r="H2" s="206" t="s">
        <v>256</v>
      </c>
      <c r="I2" s="253" t="s">
        <v>257</v>
      </c>
      <c r="J2" s="253"/>
      <c r="K2" s="253"/>
      <c r="L2" s="253"/>
      <c r="M2" s="253"/>
      <c r="N2" s="253"/>
      <c r="O2" s="17"/>
    </row>
    <row r="3" spans="2:15">
      <c r="B3" s="17"/>
      <c r="C3" s="17"/>
      <c r="D3" s="17"/>
      <c r="E3" s="17"/>
      <c r="F3" s="17"/>
      <c r="G3" s="105"/>
      <c r="H3" s="206" t="s">
        <v>258</v>
      </c>
      <c r="I3" s="253" t="s">
        <v>317</v>
      </c>
      <c r="J3" s="253"/>
      <c r="K3" s="253"/>
      <c r="L3" s="106" t="s">
        <v>259</v>
      </c>
      <c r="M3" s="255">
        <f ca="1">NOW()</f>
        <v>45824.664205324072</v>
      </c>
      <c r="N3" s="255"/>
      <c r="O3" s="17"/>
    </row>
    <row r="8" spans="2:15">
      <c r="D8" s="18" t="s">
        <v>260</v>
      </c>
    </row>
    <row r="10" spans="2:15">
      <c r="D10" s="17" t="s">
        <v>261</v>
      </c>
      <c r="E10" s="20" t="s">
        <v>116</v>
      </c>
      <c r="F10" s="17" t="s">
        <v>262</v>
      </c>
      <c r="I10" s="20" t="s">
        <v>116</v>
      </c>
      <c r="J10" s="115">
        <v>22</v>
      </c>
      <c r="K10" s="17" t="s">
        <v>263</v>
      </c>
    </row>
    <row r="11" spans="2:15">
      <c r="D11" s="17" t="s">
        <v>264</v>
      </c>
      <c r="E11" s="20" t="s">
        <v>116</v>
      </c>
      <c r="F11" s="17" t="s">
        <v>265</v>
      </c>
      <c r="I11" s="20" t="s">
        <v>116</v>
      </c>
      <c r="J11" s="115">
        <v>60.6</v>
      </c>
      <c r="K11" s="17" t="s">
        <v>263</v>
      </c>
    </row>
    <row r="12" spans="2:15">
      <c r="D12" s="17"/>
      <c r="E12" s="20"/>
      <c r="F12" s="17"/>
      <c r="I12" s="20"/>
      <c r="J12" s="116"/>
      <c r="K12" s="17"/>
    </row>
    <row r="13" spans="2:15">
      <c r="D13" s="18" t="s">
        <v>328</v>
      </c>
      <c r="E13" s="20"/>
      <c r="F13" s="17"/>
      <c r="I13" s="20"/>
      <c r="J13" s="116"/>
      <c r="K13" s="17"/>
    </row>
    <row r="14" spans="2:15">
      <c r="D14" s="17"/>
      <c r="E14" s="20"/>
      <c r="F14" s="17"/>
      <c r="I14" s="20"/>
      <c r="J14" s="116"/>
      <c r="K14" s="17"/>
    </row>
    <row r="15" spans="2:15" ht="15.75">
      <c r="D15" s="17" t="s">
        <v>319</v>
      </c>
      <c r="E15" s="20" t="s">
        <v>116</v>
      </c>
      <c r="F15" s="17" t="s">
        <v>269</v>
      </c>
      <c r="I15" s="20" t="s">
        <v>116</v>
      </c>
      <c r="J15" s="115">
        <v>63.72</v>
      </c>
      <c r="K15" s="17" t="s">
        <v>263</v>
      </c>
    </row>
    <row r="16" spans="2:15" ht="15.75">
      <c r="D16" s="17" t="s">
        <v>320</v>
      </c>
      <c r="E16" s="20" t="s">
        <v>116</v>
      </c>
      <c r="F16" s="17" t="s">
        <v>272</v>
      </c>
      <c r="I16" s="20" t="s">
        <v>116</v>
      </c>
      <c r="J16" s="115">
        <v>37.71</v>
      </c>
      <c r="K16" s="17" t="s">
        <v>263</v>
      </c>
    </row>
    <row r="17" spans="4:11">
      <c r="D17" s="17" t="s">
        <v>286</v>
      </c>
      <c r="E17" s="20" t="s">
        <v>116</v>
      </c>
      <c r="F17" s="17" t="s">
        <v>329</v>
      </c>
      <c r="I17" s="20" t="s">
        <v>116</v>
      </c>
      <c r="J17" s="115">
        <v>2700</v>
      </c>
      <c r="K17" s="17" t="s">
        <v>287</v>
      </c>
    </row>
    <row r="18" spans="4:11">
      <c r="D18" s="17"/>
      <c r="E18" s="20"/>
      <c r="F18" s="17"/>
      <c r="I18" s="20"/>
      <c r="J18" s="116"/>
      <c r="K18" s="17"/>
    </row>
    <row r="19" spans="4:11" ht="15.75">
      <c r="D19" s="17" t="s">
        <v>321</v>
      </c>
      <c r="E19" s="20" t="s">
        <v>116</v>
      </c>
      <c r="F19" s="17" t="s">
        <v>322</v>
      </c>
      <c r="I19" s="20" t="s">
        <v>116</v>
      </c>
      <c r="J19" s="115">
        <v>0</v>
      </c>
      <c r="K19" s="17" t="s">
        <v>263</v>
      </c>
    </row>
    <row r="20" spans="4:11" ht="15.75">
      <c r="D20" s="118" t="s">
        <v>323</v>
      </c>
      <c r="E20" s="20" t="s">
        <v>116</v>
      </c>
      <c r="F20" s="17" t="s">
        <v>324</v>
      </c>
      <c r="I20" s="20" t="s">
        <v>116</v>
      </c>
      <c r="J20" s="115">
        <v>0</v>
      </c>
      <c r="K20" s="17" t="s">
        <v>263</v>
      </c>
    </row>
    <row r="21" spans="4:11">
      <c r="D21" s="17"/>
      <c r="E21" s="20"/>
      <c r="F21" s="17"/>
      <c r="I21" s="20"/>
      <c r="J21" s="116"/>
      <c r="K21" s="17"/>
    </row>
    <row r="22" spans="4:11">
      <c r="D22" s="17"/>
      <c r="E22" s="20"/>
      <c r="F22" s="17"/>
      <c r="I22" s="111"/>
      <c r="J22" s="223"/>
      <c r="K22" s="17"/>
    </row>
    <row r="23" spans="4:11">
      <c r="D23" s="17"/>
      <c r="E23" s="20"/>
      <c r="F23" s="17"/>
      <c r="I23" s="111"/>
      <c r="J23" s="224"/>
      <c r="K23" s="17"/>
    </row>
    <row r="24" spans="4:11">
      <c r="D24" s="17"/>
      <c r="E24" s="20"/>
      <c r="F24" s="17"/>
      <c r="I24" s="111"/>
      <c r="J24" s="224"/>
      <c r="K24" s="17"/>
    </row>
    <row r="25" spans="4:11">
      <c r="D25" s="17"/>
      <c r="E25" s="20"/>
      <c r="F25" s="17"/>
      <c r="I25" s="111"/>
      <c r="J25" s="224"/>
      <c r="K25" s="17"/>
    </row>
    <row r="26" spans="4:11">
      <c r="D26" s="17"/>
      <c r="E26" s="20"/>
      <c r="F26" s="17"/>
      <c r="I26" s="111"/>
      <c r="J26" s="223"/>
      <c r="K26" s="17"/>
    </row>
    <row r="27" spans="4:11">
      <c r="D27" s="17" t="s">
        <v>386</v>
      </c>
      <c r="E27" s="20"/>
      <c r="F27" s="17"/>
      <c r="I27" s="20"/>
      <c r="J27" s="116"/>
      <c r="K27" s="17"/>
    </row>
    <row r="28" spans="4:11" ht="15.75">
      <c r="D28" s="17" t="s">
        <v>384</v>
      </c>
      <c r="E28" s="20" t="s">
        <v>116</v>
      </c>
      <c r="F28" s="17" t="s">
        <v>382</v>
      </c>
      <c r="I28" s="20" t="s">
        <v>116</v>
      </c>
      <c r="J28" s="115">
        <v>200</v>
      </c>
      <c r="K28" s="17" t="s">
        <v>287</v>
      </c>
    </row>
    <row r="29" spans="4:11" ht="15.75">
      <c r="D29" s="17" t="s">
        <v>385</v>
      </c>
      <c r="E29" s="20" t="s">
        <v>116</v>
      </c>
      <c r="F29" s="17" t="s">
        <v>383</v>
      </c>
      <c r="I29" s="20" t="s">
        <v>116</v>
      </c>
      <c r="J29" s="115">
        <v>200</v>
      </c>
      <c r="K29" s="17" t="s">
        <v>287</v>
      </c>
    </row>
    <row r="30" spans="4:11">
      <c r="D30" s="17"/>
      <c r="E30" s="20"/>
      <c r="F30" s="17"/>
      <c r="I30" s="20"/>
      <c r="J30" s="117"/>
      <c r="K30" s="17"/>
    </row>
    <row r="31" spans="4:11">
      <c r="D31" s="17"/>
      <c r="E31" s="20"/>
      <c r="F31" s="17"/>
      <c r="I31" s="20"/>
      <c r="J31" s="117"/>
      <c r="K31" s="17"/>
    </row>
    <row r="32" spans="4:11">
      <c r="D32" s="18" t="s">
        <v>330</v>
      </c>
      <c r="E32" s="20"/>
      <c r="F32" s="17"/>
      <c r="I32" s="20"/>
      <c r="J32" s="117"/>
      <c r="K32" s="17"/>
    </row>
    <row r="33" spans="4:36" ht="15">
      <c r="D33" s="17"/>
      <c r="E33" s="20"/>
      <c r="F33" s="17"/>
      <c r="I33" s="20"/>
      <c r="J33" s="117"/>
      <c r="K33" s="17"/>
      <c r="AA33" s="257"/>
      <c r="AB33" s="257"/>
      <c r="AC33" s="257"/>
      <c r="AD33" s="257"/>
    </row>
    <row r="34" spans="4:36" ht="15.75">
      <c r="D34" s="17" t="s">
        <v>268</v>
      </c>
      <c r="E34" s="20" t="s">
        <v>116</v>
      </c>
      <c r="F34" s="17" t="s">
        <v>269</v>
      </c>
      <c r="I34" s="20" t="s">
        <v>116</v>
      </c>
      <c r="J34" s="113">
        <f>(J89+(J17*J15))/J17</f>
        <v>64.650654625833326</v>
      </c>
      <c r="K34" s="17" t="s">
        <v>263</v>
      </c>
      <c r="AA34" s="123"/>
      <c r="AB34" s="123"/>
      <c r="AC34" s="123"/>
      <c r="AD34" s="123"/>
    </row>
    <row r="35" spans="4:36" ht="15.75">
      <c r="D35" s="17" t="s">
        <v>271</v>
      </c>
      <c r="E35" s="20" t="s">
        <v>116</v>
      </c>
      <c r="F35" s="17" t="s">
        <v>272</v>
      </c>
      <c r="I35" s="20" t="s">
        <v>116</v>
      </c>
      <c r="J35" s="113">
        <f>(K89+(J17*J16))/J17</f>
        <v>38.127890963738892</v>
      </c>
      <c r="K35" s="17" t="s">
        <v>263</v>
      </c>
    </row>
    <row r="36" spans="4:36" ht="15">
      <c r="D36" s="110"/>
      <c r="E36" s="111"/>
      <c r="F36" s="110"/>
      <c r="G36" s="109"/>
      <c r="H36" s="109"/>
      <c r="I36" s="111"/>
      <c r="J36" s="112"/>
      <c r="K36" s="110"/>
      <c r="V36" s="257"/>
      <c r="W36" s="257"/>
      <c r="X36" s="257"/>
      <c r="Y36" s="258"/>
      <c r="Z36" s="258"/>
      <c r="AA36" s="258"/>
    </row>
    <row r="37" spans="4:36" ht="15.75">
      <c r="D37" s="17" t="s">
        <v>275</v>
      </c>
      <c r="E37" s="20" t="s">
        <v>116</v>
      </c>
      <c r="F37" s="17" t="s">
        <v>276</v>
      </c>
      <c r="I37" s="20" t="s">
        <v>116</v>
      </c>
      <c r="J37" s="113">
        <f>SUM(R49:R88)/SUM(O49:O88)</f>
        <v>33.370200640111221</v>
      </c>
      <c r="K37" s="17" t="s">
        <v>263</v>
      </c>
      <c r="V37" s="125"/>
      <c r="W37" s="123"/>
      <c r="X37" s="123"/>
      <c r="Y37" s="123"/>
      <c r="Z37" s="123"/>
      <c r="AA37" s="123"/>
    </row>
    <row r="38" spans="4:36" ht="15.75">
      <c r="D38" s="17" t="s">
        <v>278</v>
      </c>
      <c r="E38" s="20" t="s">
        <v>116</v>
      </c>
      <c r="F38" s="17" t="s">
        <v>279</v>
      </c>
      <c r="I38" s="20" t="s">
        <v>116</v>
      </c>
      <c r="J38" s="113">
        <f>SUM(Q49:Q88)/SUM(P49:P88)</f>
        <v>60.881348546867976</v>
      </c>
      <c r="K38" s="17" t="s">
        <v>263</v>
      </c>
    </row>
    <row r="39" spans="4:36">
      <c r="D39" s="17"/>
      <c r="E39" s="20"/>
      <c r="F39" s="17"/>
      <c r="I39" s="20"/>
      <c r="J39" s="116"/>
      <c r="K39" s="17"/>
    </row>
    <row r="40" spans="4:36">
      <c r="D40" s="17" t="s">
        <v>331</v>
      </c>
      <c r="E40" s="20" t="s">
        <v>116</v>
      </c>
      <c r="F40" s="17" t="s">
        <v>332</v>
      </c>
      <c r="I40" s="20" t="s">
        <v>116</v>
      </c>
      <c r="J40" s="113">
        <f>ABS(J34-J37)</f>
        <v>31.280453985722104</v>
      </c>
      <c r="K40" s="17" t="s">
        <v>263</v>
      </c>
    </row>
    <row r="41" spans="4:36">
      <c r="D41" s="17" t="s">
        <v>333</v>
      </c>
      <c r="E41" s="20" t="s">
        <v>116</v>
      </c>
      <c r="F41" s="17" t="s">
        <v>332</v>
      </c>
      <c r="I41" s="20" t="s">
        <v>116</v>
      </c>
      <c r="J41" s="113">
        <f>ABS(J35-J38)</f>
        <v>22.753457583129084</v>
      </c>
      <c r="K41" s="17" t="s">
        <v>263</v>
      </c>
    </row>
    <row r="42" spans="4:36">
      <c r="D42" s="17"/>
      <c r="E42" s="20"/>
      <c r="F42" s="17"/>
      <c r="I42" s="20"/>
      <c r="J42" s="116"/>
      <c r="K42" s="17"/>
    </row>
    <row r="43" spans="4:36" ht="15.75">
      <c r="D43" s="17" t="s">
        <v>334</v>
      </c>
      <c r="E43" s="20" t="s">
        <v>116</v>
      </c>
      <c r="F43" s="17" t="s">
        <v>332</v>
      </c>
      <c r="I43" s="20" t="s">
        <v>116</v>
      </c>
      <c r="J43" s="113">
        <f>0.1*J10</f>
        <v>2.2000000000000002</v>
      </c>
      <c r="K43" s="17" t="s">
        <v>263</v>
      </c>
    </row>
    <row r="44" spans="4:36" ht="15.75">
      <c r="D44" s="17" t="s">
        <v>335</v>
      </c>
      <c r="E44" s="20" t="s">
        <v>116</v>
      </c>
      <c r="F44" s="17" t="s">
        <v>332</v>
      </c>
      <c r="I44" s="20" t="s">
        <v>116</v>
      </c>
      <c r="J44" s="113">
        <f>0.1*J11</f>
        <v>6.0600000000000005</v>
      </c>
      <c r="K44" s="17" t="s">
        <v>263</v>
      </c>
    </row>
    <row r="45" spans="4:36">
      <c r="D45" s="17"/>
      <c r="E45" s="20"/>
      <c r="F45" s="17"/>
      <c r="I45" s="20"/>
      <c r="J45" s="116"/>
      <c r="K45" s="17"/>
    </row>
    <row r="46" spans="4:36">
      <c r="D46" s="17"/>
      <c r="E46" s="20"/>
      <c r="F46" s="17"/>
      <c r="I46" s="20"/>
      <c r="J46" s="116"/>
      <c r="K46" s="17"/>
    </row>
    <row r="47" spans="4:36" ht="16.5" customHeight="1">
      <c r="D47" s="260" t="s">
        <v>336</v>
      </c>
      <c r="E47" s="260"/>
      <c r="F47" s="260"/>
      <c r="G47" s="260"/>
      <c r="H47" s="260"/>
      <c r="I47" s="260"/>
      <c r="J47" s="261" t="s">
        <v>337</v>
      </c>
      <c r="K47" s="261"/>
      <c r="L47" s="261"/>
      <c r="M47" s="261"/>
      <c r="N47" s="261" t="s">
        <v>338</v>
      </c>
      <c r="O47" s="261"/>
      <c r="P47" s="261"/>
      <c r="Q47" s="261"/>
      <c r="R47" s="261"/>
      <c r="U47" s="262" t="s">
        <v>339</v>
      </c>
      <c r="V47" s="262"/>
      <c r="W47" s="252" t="s">
        <v>340</v>
      </c>
      <c r="X47" s="252"/>
      <c r="Y47" s="252"/>
      <c r="Z47" s="252"/>
      <c r="AA47" s="252" t="s">
        <v>341</v>
      </c>
      <c r="AB47" s="252"/>
      <c r="AC47" s="252"/>
      <c r="AD47" s="252"/>
      <c r="AE47" s="259" t="s">
        <v>342</v>
      </c>
      <c r="AF47" s="259"/>
      <c r="AG47" s="259"/>
      <c r="AH47" s="259"/>
      <c r="AI47" s="259" t="s">
        <v>343</v>
      </c>
      <c r="AJ47" s="259"/>
    </row>
    <row r="48" spans="4:36" ht="45">
      <c r="D48" s="126" t="s">
        <v>325</v>
      </c>
      <c r="E48" s="126" t="s">
        <v>291</v>
      </c>
      <c r="F48" s="126" t="s">
        <v>292</v>
      </c>
      <c r="G48" s="126" t="s">
        <v>344</v>
      </c>
      <c r="H48" s="122" t="s">
        <v>326</v>
      </c>
      <c r="I48" s="122" t="s">
        <v>345</v>
      </c>
      <c r="J48" s="127" t="s">
        <v>346</v>
      </c>
      <c r="K48" s="122" t="s">
        <v>347</v>
      </c>
      <c r="L48" s="122" t="s">
        <v>348</v>
      </c>
      <c r="M48" s="122" t="s">
        <v>349</v>
      </c>
      <c r="N48" s="128" t="s">
        <v>350</v>
      </c>
      <c r="O48" s="129" t="s">
        <v>351</v>
      </c>
      <c r="P48" s="129" t="s">
        <v>352</v>
      </c>
      <c r="Q48" s="129" t="s">
        <v>353</v>
      </c>
      <c r="R48" s="129" t="s">
        <v>354</v>
      </c>
      <c r="S48" s="129" t="s">
        <v>355</v>
      </c>
      <c r="T48" s="129" t="s">
        <v>356</v>
      </c>
      <c r="U48" s="129" t="s">
        <v>357</v>
      </c>
      <c r="V48" s="129" t="s">
        <v>358</v>
      </c>
      <c r="W48" s="130" t="s">
        <v>359</v>
      </c>
      <c r="X48" s="130" t="s">
        <v>360</v>
      </c>
      <c r="Y48" s="130" t="s">
        <v>361</v>
      </c>
      <c r="Z48" s="130" t="s">
        <v>362</v>
      </c>
      <c r="AA48" s="129" t="s">
        <v>363</v>
      </c>
      <c r="AB48" s="129" t="s">
        <v>364</v>
      </c>
      <c r="AC48" s="129" t="s">
        <v>365</v>
      </c>
      <c r="AD48" s="129" t="s">
        <v>366</v>
      </c>
      <c r="AE48" s="130" t="s">
        <v>367</v>
      </c>
      <c r="AF48" s="130" t="s">
        <v>368</v>
      </c>
      <c r="AG48" s="130" t="s">
        <v>369</v>
      </c>
      <c r="AH48" s="130" t="s">
        <v>370</v>
      </c>
      <c r="AI48" s="129" t="s">
        <v>371</v>
      </c>
      <c r="AJ48" s="129" t="s">
        <v>372</v>
      </c>
    </row>
    <row r="49" spans="4:36">
      <c r="D49" s="144" t="s">
        <v>293</v>
      </c>
      <c r="E49" s="107">
        <v>3.3716665500000147</v>
      </c>
      <c r="F49" s="144">
        <v>3.37</v>
      </c>
      <c r="G49" s="17"/>
      <c r="H49" s="107">
        <v>64.647530849999995</v>
      </c>
      <c r="I49" s="107">
        <v>62.607969900000001</v>
      </c>
      <c r="J49" s="131">
        <f>H49-$J$19</f>
        <v>64.647530849999995</v>
      </c>
      <c r="K49" s="131">
        <f>I49-$J$20</f>
        <v>62.607969900000001</v>
      </c>
      <c r="L49" s="17"/>
      <c r="M49" s="17"/>
      <c r="N49" s="148">
        <f>4*(F49/E49)^3+3*(F49/E49)</f>
        <v>6.9925887194553429</v>
      </c>
      <c r="O49" s="148">
        <v>0</v>
      </c>
      <c r="P49" s="149">
        <f>1/N49</f>
        <v>0.14300855378748639</v>
      </c>
      <c r="Q49" s="131">
        <f>P49*J49</f>
        <v>9.2451498927904101</v>
      </c>
      <c r="R49" s="17">
        <f>O49*K49</f>
        <v>0</v>
      </c>
      <c r="S49" s="131">
        <f>J49-$J$34</f>
        <v>-3.1237758333304555E-3</v>
      </c>
      <c r="T49" s="131">
        <f>K49-$J$35</f>
        <v>24.480078936261108</v>
      </c>
      <c r="U49" s="156">
        <f>P49*S49^2</f>
        <v>1.3954739579849675E-6</v>
      </c>
      <c r="V49" s="17">
        <f>R49*T49^2</f>
        <v>0</v>
      </c>
      <c r="W49" s="150">
        <f t="shared" ref="W49:W88" si="0">O49*T49*$J$41/$V$89</f>
        <v>0</v>
      </c>
      <c r="X49" s="160">
        <f t="shared" ref="X49:X88" si="1">P49*S49*$J$40/$V$89</f>
        <v>-5.0688941307645541E-7</v>
      </c>
      <c r="Y49" s="150">
        <f>$J$28*W49</f>
        <v>0</v>
      </c>
      <c r="Z49" s="150">
        <f>$J$29*X49</f>
        <v>-1.0137788261529108E-4</v>
      </c>
      <c r="AA49" s="17">
        <f t="shared" ref="AA49:AA88" si="2">P49/SUM($P$49:$P$88)</f>
        <v>1.5644854168366997E-2</v>
      </c>
      <c r="AB49" s="17">
        <f t="shared" ref="AB49:AB88" si="3">O49/SUM($O$49:$O$88)</f>
        <v>0</v>
      </c>
      <c r="AC49" s="17">
        <f>AA49*$J$28</f>
        <v>3.1289708336733995</v>
      </c>
      <c r="AD49" s="17">
        <f>AB49*$J$29</f>
        <v>0</v>
      </c>
      <c r="AE49" s="150">
        <f t="shared" ref="AE49:AE88" si="4">$J$44*O49*T49/$V$89</f>
        <v>0</v>
      </c>
      <c r="AF49" s="151">
        <f t="shared" ref="AF49:AF88" si="5">$J$43*P49*S49/$V$89</f>
        <v>-3.5650272508104028E-8</v>
      </c>
      <c r="AG49" s="150">
        <f>$J$29*AE49</f>
        <v>0</v>
      </c>
      <c r="AH49" s="150">
        <f>$J$28*AF49</f>
        <v>-7.1300545016208054E-6</v>
      </c>
      <c r="AI49" s="131">
        <f>Y49+AC49+AG49</f>
        <v>3.1289708336733995</v>
      </c>
      <c r="AJ49" s="131">
        <f>Z49+AD49+AH49</f>
        <v>-1.0850793711691188E-4</v>
      </c>
    </row>
    <row r="50" spans="4:36">
      <c r="D50" s="144" t="s">
        <v>295</v>
      </c>
      <c r="E50" s="107">
        <v>4.0521221999999995</v>
      </c>
      <c r="F50" s="144">
        <v>3.37</v>
      </c>
      <c r="G50" s="17"/>
      <c r="H50" s="107">
        <v>69.716385900000006</v>
      </c>
      <c r="I50" s="107">
        <v>62.607969900000001</v>
      </c>
      <c r="J50" s="131">
        <f t="shared" ref="J50:J88" si="6">H50-$J$19</f>
        <v>69.716385900000006</v>
      </c>
      <c r="K50" s="131">
        <f t="shared" ref="K50:K88" si="7">I50-$J$20</f>
        <v>62.607969900000001</v>
      </c>
      <c r="L50" s="17"/>
      <c r="M50" s="17"/>
      <c r="N50" s="148">
        <f t="shared" ref="N50:N88" si="8">4*(F50/E50)^3+3*(F50/E50)</f>
        <v>4.7959119584457159</v>
      </c>
      <c r="O50" s="148">
        <v>0</v>
      </c>
      <c r="P50" s="149">
        <f t="shared" ref="P50:P68" si="9">1/N50</f>
        <v>0.20851091693603258</v>
      </c>
      <c r="Q50" s="131">
        <f t="shared" ref="Q50:Q88" si="10">P50*J50</f>
        <v>14.536627549475293</v>
      </c>
      <c r="R50" s="17">
        <f t="shared" ref="R50:R68" si="11">O50*K50</f>
        <v>0</v>
      </c>
      <c r="S50" s="131">
        <f t="shared" ref="S50:S88" si="12">J50-$J$34</f>
        <v>5.06573127416668</v>
      </c>
      <c r="T50" s="131">
        <f t="shared" ref="T50:T88" si="13">K50-$J$35</f>
        <v>24.480078936261108</v>
      </c>
      <c r="U50" s="156">
        <f t="shared" ref="U50:U88" si="14">P50*S50^2</f>
        <v>5.3507306982313594</v>
      </c>
      <c r="V50" s="17">
        <f t="shared" ref="V50:V88" si="15">R50*T50^2</f>
        <v>0</v>
      </c>
      <c r="W50" s="150">
        <f t="shared" si="0"/>
        <v>0</v>
      </c>
      <c r="X50" s="160">
        <f t="shared" si="1"/>
        <v>1.1985117357217296E-3</v>
      </c>
      <c r="Y50" s="150">
        <f t="shared" ref="Y50:Y88" si="16">$J$28*W50</f>
        <v>0</v>
      </c>
      <c r="Z50" s="150">
        <f t="shared" ref="Z50:Z88" si="17">$J$29*X50</f>
        <v>0.23970234714434593</v>
      </c>
      <c r="AA50" s="17">
        <f t="shared" si="2"/>
        <v>2.2810683707943057E-2</v>
      </c>
      <c r="AB50" s="17">
        <f t="shared" si="3"/>
        <v>0</v>
      </c>
      <c r="AC50" s="17">
        <f t="shared" ref="AC50:AC88" si="18">AA50*$J$28</f>
        <v>4.5621367415886116</v>
      </c>
      <c r="AD50" s="17">
        <f t="shared" ref="AD50:AD88" si="19">AB50*$J$29</f>
        <v>0</v>
      </c>
      <c r="AE50" s="150">
        <f t="shared" si="4"/>
        <v>0</v>
      </c>
      <c r="AF50" s="151">
        <f t="shared" si="5"/>
        <v>8.4293080266396815E-5</v>
      </c>
      <c r="AG50" s="150">
        <f t="shared" ref="AG50:AG88" si="20">$J$29*AE50</f>
        <v>0</v>
      </c>
      <c r="AH50" s="150">
        <f t="shared" ref="AH50:AH88" si="21">$J$28*AF50</f>
        <v>1.6858616053279363E-2</v>
      </c>
      <c r="AI50" s="131">
        <f t="shared" ref="AI50:AI88" si="22">Y50+AC50+AG50</f>
        <v>4.5621367415886116</v>
      </c>
      <c r="AJ50" s="131">
        <f t="shared" ref="AJ50:AJ88" si="23">Z50+AD50+AH50</f>
        <v>0.25656096319762528</v>
      </c>
    </row>
    <row r="51" spans="4:36">
      <c r="D51" s="144" t="s">
        <v>297</v>
      </c>
      <c r="E51" s="107">
        <v>5.7082241999999894</v>
      </c>
      <c r="F51" s="144">
        <v>3.37</v>
      </c>
      <c r="G51" s="17"/>
      <c r="H51" s="107">
        <v>66.438179850000012</v>
      </c>
      <c r="I51" s="107">
        <v>54.0538509</v>
      </c>
      <c r="J51" s="131">
        <f t="shared" si="6"/>
        <v>66.438179850000012</v>
      </c>
      <c r="K51" s="131">
        <f t="shared" si="7"/>
        <v>54.0538509</v>
      </c>
      <c r="L51" s="17"/>
      <c r="M51" s="17"/>
      <c r="N51" s="148">
        <f t="shared" si="8"/>
        <v>2.5942174273144536</v>
      </c>
      <c r="O51" s="148">
        <v>0</v>
      </c>
      <c r="P51" s="149">
        <f t="shared" si="9"/>
        <v>0.38547270150567325</v>
      </c>
      <c r="Q51" s="131">
        <f t="shared" si="10"/>
        <v>25.61010466989929</v>
      </c>
      <c r="R51" s="17">
        <f t="shared" si="11"/>
        <v>0</v>
      </c>
      <c r="S51" s="131">
        <f t="shared" si="12"/>
        <v>1.7875252241666857</v>
      </c>
      <c r="T51" s="131">
        <f t="shared" si="13"/>
        <v>15.925959936261108</v>
      </c>
      <c r="U51" s="156">
        <f t="shared" si="14"/>
        <v>1.2316802722044367</v>
      </c>
      <c r="V51" s="17">
        <f t="shared" si="15"/>
        <v>0</v>
      </c>
      <c r="W51" s="150">
        <f t="shared" si="0"/>
        <v>0</v>
      </c>
      <c r="X51" s="160">
        <f t="shared" si="1"/>
        <v>7.8183867831659482E-4</v>
      </c>
      <c r="Y51" s="150">
        <f t="shared" si="16"/>
        <v>0</v>
      </c>
      <c r="Z51" s="150">
        <f t="shared" si="17"/>
        <v>0.15636773566331896</v>
      </c>
      <c r="AA51" s="17">
        <f t="shared" si="2"/>
        <v>4.2169954462335235E-2</v>
      </c>
      <c r="AB51" s="17">
        <f t="shared" si="3"/>
        <v>0</v>
      </c>
      <c r="AC51" s="17">
        <f t="shared" si="18"/>
        <v>8.4339908924670475</v>
      </c>
      <c r="AD51" s="17">
        <f t="shared" si="19"/>
        <v>0</v>
      </c>
      <c r="AE51" s="150">
        <f t="shared" si="4"/>
        <v>0</v>
      </c>
      <c r="AF51" s="151">
        <f t="shared" si="5"/>
        <v>5.4987855773500593E-5</v>
      </c>
      <c r="AG51" s="150">
        <f t="shared" si="20"/>
        <v>0</v>
      </c>
      <c r="AH51" s="150">
        <f t="shared" si="21"/>
        <v>1.0997571154700118E-2</v>
      </c>
      <c r="AI51" s="131">
        <f t="shared" si="22"/>
        <v>8.4339908924670475</v>
      </c>
      <c r="AJ51" s="131">
        <f t="shared" si="23"/>
        <v>0.16736530681801909</v>
      </c>
    </row>
    <row r="52" spans="4:36">
      <c r="D52" s="144" t="s">
        <v>299</v>
      </c>
      <c r="E52" s="107">
        <v>9.2031953999999985</v>
      </c>
      <c r="F52" s="144">
        <v>3.37</v>
      </c>
      <c r="G52" s="17"/>
      <c r="H52" s="107">
        <v>64.565312700000007</v>
      </c>
      <c r="I52" s="107">
        <v>51.200596650000001</v>
      </c>
      <c r="J52" s="131">
        <f t="shared" si="6"/>
        <v>64.565312700000007</v>
      </c>
      <c r="K52" s="131">
        <f t="shared" si="7"/>
        <v>51.200596650000001</v>
      </c>
      <c r="L52" s="17"/>
      <c r="M52" s="17"/>
      <c r="N52" s="148">
        <f t="shared" si="8"/>
        <v>1.2949280043958129</v>
      </c>
      <c r="O52" s="148">
        <v>0</v>
      </c>
      <c r="P52" s="149">
        <f t="shared" si="9"/>
        <v>0.77224370513678064</v>
      </c>
      <c r="Q52" s="131">
        <f t="shared" si="10"/>
        <v>49.860156302762846</v>
      </c>
      <c r="R52" s="17">
        <f t="shared" si="11"/>
        <v>0</v>
      </c>
      <c r="S52" s="131">
        <f t="shared" si="12"/>
        <v>-8.534192583331901E-2</v>
      </c>
      <c r="T52" s="131">
        <f t="shared" si="13"/>
        <v>13.072705686261109</v>
      </c>
      <c r="U52" s="156">
        <f t="shared" si="14"/>
        <v>5.6244395674630082E-3</v>
      </c>
      <c r="V52" s="17">
        <f t="shared" si="15"/>
        <v>0</v>
      </c>
      <c r="W52" s="150">
        <f t="shared" si="0"/>
        <v>0</v>
      </c>
      <c r="X52" s="160">
        <f t="shared" si="1"/>
        <v>-7.4780464936304462E-5</v>
      </c>
      <c r="Y52" s="150">
        <f t="shared" si="16"/>
        <v>0</v>
      </c>
      <c r="Z52" s="150">
        <f t="shared" si="17"/>
        <v>-1.4956092987260892E-2</v>
      </c>
      <c r="AA52" s="17">
        <f t="shared" si="2"/>
        <v>8.4481940620544274E-2</v>
      </c>
      <c r="AB52" s="17">
        <f t="shared" si="3"/>
        <v>0</v>
      </c>
      <c r="AC52" s="17">
        <f t="shared" si="18"/>
        <v>16.896388124108856</v>
      </c>
      <c r="AD52" s="17">
        <f t="shared" si="19"/>
        <v>0</v>
      </c>
      <c r="AE52" s="150">
        <f t="shared" si="4"/>
        <v>0</v>
      </c>
      <c r="AF52" s="151">
        <f t="shared" si="5"/>
        <v>-5.259419282564225E-6</v>
      </c>
      <c r="AG52" s="150">
        <f t="shared" si="20"/>
        <v>0</v>
      </c>
      <c r="AH52" s="150">
        <f t="shared" si="21"/>
        <v>-1.051883856512845E-3</v>
      </c>
      <c r="AI52" s="131">
        <f t="shared" si="22"/>
        <v>16.896388124108856</v>
      </c>
      <c r="AJ52" s="131">
        <f t="shared" si="23"/>
        <v>-1.6007976843773739E-2</v>
      </c>
    </row>
    <row r="53" spans="4:36">
      <c r="D53" s="144" t="s">
        <v>301</v>
      </c>
      <c r="E53" s="107">
        <v>6.0096004500000006</v>
      </c>
      <c r="F53" s="144">
        <v>3.37</v>
      </c>
      <c r="G53" s="17"/>
      <c r="H53" s="107">
        <v>56.721403200000005</v>
      </c>
      <c r="I53" s="107">
        <v>44.739726465000004</v>
      </c>
      <c r="J53" s="131">
        <f t="shared" si="6"/>
        <v>56.721403200000005</v>
      </c>
      <c r="K53" s="131">
        <f t="shared" si="7"/>
        <v>44.739726465000004</v>
      </c>
      <c r="L53" s="17"/>
      <c r="M53" s="17"/>
      <c r="N53" s="148">
        <f t="shared" si="8"/>
        <v>2.387671542491649</v>
      </c>
      <c r="O53" s="148">
        <v>0</v>
      </c>
      <c r="P53" s="149">
        <f t="shared" si="9"/>
        <v>0.41881807535237964</v>
      </c>
      <c r="Q53" s="131">
        <f t="shared" si="10"/>
        <v>23.75594891951031</v>
      </c>
      <c r="R53" s="17">
        <f t="shared" si="11"/>
        <v>0</v>
      </c>
      <c r="S53" s="131">
        <f t="shared" si="12"/>
        <v>-7.9292514258333213</v>
      </c>
      <c r="T53" s="131">
        <f t="shared" si="13"/>
        <v>6.6118355012611119</v>
      </c>
      <c r="U53" s="156">
        <f t="shared" si="14"/>
        <v>26.332360651444024</v>
      </c>
      <c r="V53" s="17">
        <f t="shared" si="15"/>
        <v>0</v>
      </c>
      <c r="W53" s="150">
        <f t="shared" si="0"/>
        <v>0</v>
      </c>
      <c r="X53" s="160">
        <f t="shared" si="1"/>
        <v>-3.768156665533423E-3</v>
      </c>
      <c r="Y53" s="150">
        <f t="shared" si="16"/>
        <v>0</v>
      </c>
      <c r="Z53" s="150">
        <f t="shared" si="17"/>
        <v>-0.75363133310668462</v>
      </c>
      <c r="AA53" s="17">
        <f t="shared" si="2"/>
        <v>4.5817872696629333E-2</v>
      </c>
      <c r="AB53" s="17">
        <f t="shared" si="3"/>
        <v>0</v>
      </c>
      <c r="AC53" s="17">
        <f t="shared" si="18"/>
        <v>9.1635745393258663</v>
      </c>
      <c r="AD53" s="17">
        <f t="shared" si="19"/>
        <v>0</v>
      </c>
      <c r="AE53" s="150">
        <f t="shared" si="4"/>
        <v>0</v>
      </c>
      <c r="AF53" s="151">
        <f t="shared" si="5"/>
        <v>-2.6501996000305683E-4</v>
      </c>
      <c r="AG53" s="150">
        <f t="shared" si="20"/>
        <v>0</v>
      </c>
      <c r="AH53" s="150">
        <f t="shared" si="21"/>
        <v>-5.3003992000611365E-2</v>
      </c>
      <c r="AI53" s="131">
        <f t="shared" si="22"/>
        <v>9.1635745393258663</v>
      </c>
      <c r="AJ53" s="131">
        <f t="shared" si="23"/>
        <v>-0.80663532510729596</v>
      </c>
    </row>
    <row r="54" spans="4:36">
      <c r="D54" s="144" t="s">
        <v>302</v>
      </c>
      <c r="E54" s="107">
        <v>7.5435717000000011</v>
      </c>
      <c r="F54" s="144">
        <v>3.37</v>
      </c>
      <c r="G54" s="17"/>
      <c r="H54" s="107">
        <v>55.269469500000007</v>
      </c>
      <c r="I54" s="107">
        <v>38.198764695000001</v>
      </c>
      <c r="J54" s="131">
        <f t="shared" si="6"/>
        <v>55.269469500000007</v>
      </c>
      <c r="K54" s="131">
        <f t="shared" si="7"/>
        <v>38.198764695000001</v>
      </c>
      <c r="L54" s="17"/>
      <c r="M54" s="17"/>
      <c r="N54" s="148">
        <f t="shared" si="8"/>
        <v>1.696844564724417</v>
      </c>
      <c r="O54" s="148">
        <v>0</v>
      </c>
      <c r="P54" s="149">
        <f t="shared" si="9"/>
        <v>0.58932917061994361</v>
      </c>
      <c r="Q54" s="131">
        <f t="shared" si="10"/>
        <v>32.571910621039272</v>
      </c>
      <c r="R54" s="17">
        <f t="shared" si="11"/>
        <v>0</v>
      </c>
      <c r="S54" s="131">
        <f t="shared" si="12"/>
        <v>-9.3811851258333192</v>
      </c>
      <c r="T54" s="131">
        <f t="shared" si="13"/>
        <v>7.0873731261109185E-2</v>
      </c>
      <c r="U54" s="156">
        <f t="shared" si="14"/>
        <v>51.864876839470199</v>
      </c>
      <c r="V54" s="17">
        <f t="shared" si="15"/>
        <v>0</v>
      </c>
      <c r="W54" s="150">
        <f t="shared" si="0"/>
        <v>0</v>
      </c>
      <c r="X54" s="160">
        <f t="shared" si="1"/>
        <v>-6.2731690308744275E-3</v>
      </c>
      <c r="Y54" s="150">
        <f t="shared" si="16"/>
        <v>0</v>
      </c>
      <c r="Z54" s="150">
        <f t="shared" si="17"/>
        <v>-1.2546338061748854</v>
      </c>
      <c r="AA54" s="17">
        <f t="shared" si="2"/>
        <v>6.4471450744231371E-2</v>
      </c>
      <c r="AB54" s="17">
        <f t="shared" si="3"/>
        <v>0</v>
      </c>
      <c r="AC54" s="17">
        <f t="shared" si="18"/>
        <v>12.894290148846274</v>
      </c>
      <c r="AD54" s="17">
        <f t="shared" si="19"/>
        <v>0</v>
      </c>
      <c r="AE54" s="150">
        <f t="shared" si="4"/>
        <v>0</v>
      </c>
      <c r="AF54" s="151">
        <f t="shared" si="5"/>
        <v>-4.4120113711339242E-4</v>
      </c>
      <c r="AG54" s="150">
        <f t="shared" si="20"/>
        <v>0</v>
      </c>
      <c r="AH54" s="150">
        <f t="shared" si="21"/>
        <v>-8.824022742267848E-2</v>
      </c>
      <c r="AI54" s="131">
        <f t="shared" si="22"/>
        <v>12.894290148846274</v>
      </c>
      <c r="AJ54" s="131">
        <f t="shared" si="23"/>
        <v>-1.342874033597564</v>
      </c>
    </row>
    <row r="55" spans="4:36">
      <c r="D55" s="144" t="s">
        <v>303</v>
      </c>
      <c r="E55" s="107">
        <v>6.1976953500000036</v>
      </c>
      <c r="F55" s="144">
        <v>3.37</v>
      </c>
      <c r="G55" s="17"/>
      <c r="H55" s="107">
        <v>67.570812750000002</v>
      </c>
      <c r="I55" s="107">
        <v>31.68268509</v>
      </c>
      <c r="J55" s="131">
        <f t="shared" si="6"/>
        <v>67.570812750000002</v>
      </c>
      <c r="K55" s="131">
        <f t="shared" si="7"/>
        <v>31.68268509</v>
      </c>
      <c r="L55" s="17"/>
      <c r="M55" s="17"/>
      <c r="N55" s="148">
        <f t="shared" si="8"/>
        <v>2.274322667598625</v>
      </c>
      <c r="O55" s="148">
        <v>0</v>
      </c>
      <c r="P55" s="149">
        <f t="shared" si="9"/>
        <v>0.43969134821835276</v>
      </c>
      <c r="Q55" s="131">
        <f t="shared" si="10"/>
        <v>29.710301758257362</v>
      </c>
      <c r="R55" s="17">
        <f t="shared" si="11"/>
        <v>0</v>
      </c>
      <c r="S55" s="131">
        <f t="shared" si="12"/>
        <v>2.9201581241666759</v>
      </c>
      <c r="T55" s="131">
        <f t="shared" si="13"/>
        <v>-6.4452058737388924</v>
      </c>
      <c r="U55" s="156">
        <f t="shared" si="14"/>
        <v>3.7493903532783817</v>
      </c>
      <c r="V55" s="17">
        <f t="shared" si="15"/>
        <v>0</v>
      </c>
      <c r="W55" s="150">
        <f t="shared" si="0"/>
        <v>0</v>
      </c>
      <c r="X55" s="160">
        <f t="shared" si="1"/>
        <v>1.4568862149716563E-3</v>
      </c>
      <c r="Y55" s="150">
        <f t="shared" si="16"/>
        <v>0</v>
      </c>
      <c r="Z55" s="150">
        <f t="shared" si="17"/>
        <v>0.29137724299433126</v>
      </c>
      <c r="AA55" s="17">
        <f t="shared" si="2"/>
        <v>4.8101367644001185E-2</v>
      </c>
      <c r="AB55" s="17">
        <f t="shared" si="3"/>
        <v>0</v>
      </c>
      <c r="AC55" s="17">
        <f t="shared" si="18"/>
        <v>9.6202735288002366</v>
      </c>
      <c r="AD55" s="17">
        <f t="shared" si="19"/>
        <v>0</v>
      </c>
      <c r="AE55" s="150">
        <f t="shared" si="4"/>
        <v>0</v>
      </c>
      <c r="AF55" s="151">
        <f t="shared" si="5"/>
        <v>1.0246493463300204E-4</v>
      </c>
      <c r="AG55" s="150">
        <f t="shared" si="20"/>
        <v>0</v>
      </c>
      <c r="AH55" s="150">
        <f t="shared" si="21"/>
        <v>2.0492986926600409E-2</v>
      </c>
      <c r="AI55" s="131">
        <f t="shared" si="22"/>
        <v>9.6202735288002366</v>
      </c>
      <c r="AJ55" s="131">
        <f t="shared" si="23"/>
        <v>0.31187022992093166</v>
      </c>
    </row>
    <row r="56" spans="4:36">
      <c r="D56" s="144" t="s">
        <v>304</v>
      </c>
      <c r="E56" s="107">
        <v>9.1170492000000039</v>
      </c>
      <c r="F56" s="144">
        <v>3.37</v>
      </c>
      <c r="G56" s="17"/>
      <c r="H56" s="107">
        <v>53.613954450000001</v>
      </c>
      <c r="I56" s="107">
        <v>31.672119989999999</v>
      </c>
      <c r="J56" s="131">
        <f t="shared" si="6"/>
        <v>53.613954450000001</v>
      </c>
      <c r="K56" s="131">
        <f t="shared" si="7"/>
        <v>31.672119989999999</v>
      </c>
      <c r="L56" s="17"/>
      <c r="M56" s="17"/>
      <c r="N56" s="148">
        <f t="shared" si="8"/>
        <v>1.3109279023157399</v>
      </c>
      <c r="O56" s="148">
        <v>0</v>
      </c>
      <c r="P56" s="149">
        <f t="shared" si="9"/>
        <v>0.76281845724201225</v>
      </c>
      <c r="Q56" s="131">
        <f t="shared" si="10"/>
        <v>40.897714020192517</v>
      </c>
      <c r="R56" s="17">
        <f t="shared" si="11"/>
        <v>0</v>
      </c>
      <c r="S56" s="131">
        <f t="shared" si="12"/>
        <v>-11.036700175833325</v>
      </c>
      <c r="T56" s="131">
        <f t="shared" si="13"/>
        <v>-6.4557709737388933</v>
      </c>
      <c r="U56" s="156">
        <f t="shared" si="14"/>
        <v>92.917963341893554</v>
      </c>
      <c r="V56" s="17">
        <f t="shared" si="15"/>
        <v>0</v>
      </c>
      <c r="W56" s="150">
        <f t="shared" si="0"/>
        <v>0</v>
      </c>
      <c r="X56" s="160">
        <f t="shared" si="1"/>
        <v>-9.5528241335426627E-3</v>
      </c>
      <c r="Y56" s="150">
        <f t="shared" si="16"/>
        <v>0</v>
      </c>
      <c r="Z56" s="150">
        <f t="shared" si="17"/>
        <v>-1.9105648267085324</v>
      </c>
      <c r="AA56" s="17">
        <f t="shared" si="2"/>
        <v>8.3450837061288072E-2</v>
      </c>
      <c r="AB56" s="17">
        <f t="shared" si="3"/>
        <v>0</v>
      </c>
      <c r="AC56" s="17">
        <f t="shared" si="18"/>
        <v>16.690167412257615</v>
      </c>
      <c r="AD56" s="17">
        <f t="shared" si="19"/>
        <v>0</v>
      </c>
      <c r="AE56" s="150">
        <f t="shared" si="4"/>
        <v>0</v>
      </c>
      <c r="AF56" s="151">
        <f t="shared" si="5"/>
        <v>-6.7186406896097689E-4</v>
      </c>
      <c r="AG56" s="150">
        <f t="shared" si="20"/>
        <v>0</v>
      </c>
      <c r="AH56" s="150">
        <f t="shared" si="21"/>
        <v>-0.13437281379219537</v>
      </c>
      <c r="AI56" s="131">
        <f t="shared" si="22"/>
        <v>16.690167412257615</v>
      </c>
      <c r="AJ56" s="131">
        <f t="shared" si="23"/>
        <v>-2.044937640500728</v>
      </c>
    </row>
    <row r="57" spans="4:36">
      <c r="D57" s="144" t="s">
        <v>305</v>
      </c>
      <c r="E57" s="107">
        <v>7.5810913499999941</v>
      </c>
      <c r="F57" s="144">
        <v>3.37</v>
      </c>
      <c r="G57" s="17"/>
      <c r="H57" s="107">
        <v>64.565312700000007</v>
      </c>
      <c r="I57" s="107">
        <v>24.428226900000002</v>
      </c>
      <c r="J57" s="131">
        <f t="shared" si="6"/>
        <v>64.565312700000007</v>
      </c>
      <c r="K57" s="131">
        <f t="shared" si="7"/>
        <v>24.428226900000002</v>
      </c>
      <c r="L57" s="17"/>
      <c r="M57" s="17"/>
      <c r="N57" s="148">
        <f t="shared" si="8"/>
        <v>1.6849428499582493</v>
      </c>
      <c r="O57" s="148">
        <v>0</v>
      </c>
      <c r="P57" s="149">
        <f t="shared" si="9"/>
        <v>0.59349193951876689</v>
      </c>
      <c r="Q57" s="131">
        <f t="shared" si="10"/>
        <v>38.318992659958674</v>
      </c>
      <c r="R57" s="17">
        <f t="shared" si="11"/>
        <v>0</v>
      </c>
      <c r="S57" s="131">
        <f t="shared" si="12"/>
        <v>-8.534192583331901E-2</v>
      </c>
      <c r="T57" s="131">
        <f t="shared" si="13"/>
        <v>-13.69966406373889</v>
      </c>
      <c r="U57" s="156">
        <f t="shared" si="14"/>
        <v>4.3225467885276894E-3</v>
      </c>
      <c r="V57" s="17">
        <f t="shared" si="15"/>
        <v>0</v>
      </c>
      <c r="W57" s="150">
        <f t="shared" si="0"/>
        <v>0</v>
      </c>
      <c r="X57" s="160">
        <f t="shared" si="1"/>
        <v>-5.747098082891016E-5</v>
      </c>
      <c r="Y57" s="150">
        <f t="shared" si="16"/>
        <v>0</v>
      </c>
      <c r="Z57" s="150">
        <f t="shared" si="17"/>
        <v>-1.1494196165782032E-2</v>
      </c>
      <c r="AA57" s="17">
        <f t="shared" si="2"/>
        <v>6.4926849464335079E-2</v>
      </c>
      <c r="AB57" s="17">
        <f t="shared" si="3"/>
        <v>0</v>
      </c>
      <c r="AC57" s="17">
        <f t="shared" si="18"/>
        <v>12.985369892867016</v>
      </c>
      <c r="AD57" s="17">
        <f t="shared" si="19"/>
        <v>0</v>
      </c>
      <c r="AE57" s="150">
        <f t="shared" si="4"/>
        <v>0</v>
      </c>
      <c r="AF57" s="151">
        <f t="shared" si="5"/>
        <v>-4.0420179924918564E-6</v>
      </c>
      <c r="AG57" s="150">
        <f t="shared" si="20"/>
        <v>0</v>
      </c>
      <c r="AH57" s="150">
        <f t="shared" si="21"/>
        <v>-8.0840359849837127E-4</v>
      </c>
      <c r="AI57" s="131">
        <f t="shared" si="22"/>
        <v>12.985369892867016</v>
      </c>
      <c r="AJ57" s="131">
        <f t="shared" si="23"/>
        <v>-1.2302599764280404E-2</v>
      </c>
    </row>
    <row r="58" spans="4:36">
      <c r="D58" s="144" t="s">
        <v>306</v>
      </c>
      <c r="E58" s="107">
        <v>4.6811971500000027</v>
      </c>
      <c r="F58" s="144">
        <v>3.37</v>
      </c>
      <c r="G58" s="17"/>
      <c r="H58" s="107">
        <v>65.475852750000001</v>
      </c>
      <c r="I58" s="107">
        <v>20.193536160000001</v>
      </c>
      <c r="J58" s="131">
        <f t="shared" si="6"/>
        <v>65.475852750000001</v>
      </c>
      <c r="K58" s="131">
        <f t="shared" si="7"/>
        <v>20.193536160000001</v>
      </c>
      <c r="L58" s="17"/>
      <c r="M58" s="17"/>
      <c r="N58" s="148">
        <f t="shared" si="8"/>
        <v>3.6520821608842944</v>
      </c>
      <c r="O58" s="148">
        <v>0</v>
      </c>
      <c r="P58" s="149">
        <f t="shared" si="9"/>
        <v>0.27381640279359587</v>
      </c>
      <c r="Q58" s="131">
        <f t="shared" si="10"/>
        <v>17.928362469848171</v>
      </c>
      <c r="R58" s="17">
        <f t="shared" si="11"/>
        <v>0</v>
      </c>
      <c r="S58" s="131">
        <f t="shared" si="12"/>
        <v>0.82519812416667548</v>
      </c>
      <c r="T58" s="131">
        <f t="shared" si="13"/>
        <v>-17.934354803738891</v>
      </c>
      <c r="U58" s="156">
        <f t="shared" si="14"/>
        <v>0.18645581181648938</v>
      </c>
      <c r="V58" s="17">
        <f t="shared" si="15"/>
        <v>0</v>
      </c>
      <c r="W58" s="150">
        <f t="shared" si="0"/>
        <v>0</v>
      </c>
      <c r="X58" s="160">
        <f t="shared" si="1"/>
        <v>2.5638288954762972E-4</v>
      </c>
      <c r="Y58" s="150">
        <f t="shared" si="16"/>
        <v>0</v>
      </c>
      <c r="Z58" s="150">
        <f t="shared" si="17"/>
        <v>5.1276577909525944E-2</v>
      </c>
      <c r="AA58" s="17">
        <f t="shared" si="2"/>
        <v>2.9954975259581223E-2</v>
      </c>
      <c r="AB58" s="17">
        <f t="shared" si="3"/>
        <v>0</v>
      </c>
      <c r="AC58" s="17">
        <f t="shared" si="18"/>
        <v>5.9909950519162445</v>
      </c>
      <c r="AD58" s="17">
        <f t="shared" si="19"/>
        <v>0</v>
      </c>
      <c r="AE58" s="150">
        <f t="shared" si="4"/>
        <v>0</v>
      </c>
      <c r="AF58" s="151">
        <f t="shared" si="5"/>
        <v>1.8031782955012141E-5</v>
      </c>
      <c r="AG58" s="150">
        <f t="shared" si="20"/>
        <v>0</v>
      </c>
      <c r="AH58" s="150">
        <f t="shared" si="21"/>
        <v>3.6063565910024282E-3</v>
      </c>
      <c r="AI58" s="131">
        <f t="shared" si="22"/>
        <v>5.9909950519162445</v>
      </c>
      <c r="AJ58" s="131">
        <f t="shared" si="23"/>
        <v>5.488293450052837E-2</v>
      </c>
    </row>
    <row r="59" spans="4:36">
      <c r="D59" s="144" t="s">
        <v>307</v>
      </c>
      <c r="E59" s="107">
        <v>3.6417086999999952</v>
      </c>
      <c r="F59" s="144">
        <v>3.37</v>
      </c>
      <c r="G59" s="17"/>
      <c r="H59" s="107">
        <v>64.565312700000007</v>
      </c>
      <c r="I59" s="107">
        <v>15.115217670000002</v>
      </c>
      <c r="J59" s="131">
        <f t="shared" si="6"/>
        <v>64.565312700000007</v>
      </c>
      <c r="K59" s="131">
        <f t="shared" si="7"/>
        <v>15.115217670000002</v>
      </c>
      <c r="L59" s="17"/>
      <c r="M59" s="17"/>
      <c r="N59" s="148">
        <f t="shared" si="8"/>
        <v>5.945985546431463</v>
      </c>
      <c r="O59" s="148">
        <v>0</v>
      </c>
      <c r="P59" s="149">
        <f t="shared" si="9"/>
        <v>0.16818069808463612</v>
      </c>
      <c r="Q59" s="131">
        <f t="shared" si="10"/>
        <v>10.858639361938824</v>
      </c>
      <c r="R59" s="17">
        <f t="shared" si="11"/>
        <v>0</v>
      </c>
      <c r="S59" s="131">
        <f t="shared" si="12"/>
        <v>-8.534192583331901E-2</v>
      </c>
      <c r="T59" s="131">
        <f t="shared" si="13"/>
        <v>-23.012673293738892</v>
      </c>
      <c r="U59" s="156">
        <f t="shared" si="14"/>
        <v>1.224901111525713E-3</v>
      </c>
      <c r="V59" s="17">
        <f t="shared" si="15"/>
        <v>0</v>
      </c>
      <c r="W59" s="150">
        <f t="shared" si="0"/>
        <v>0</v>
      </c>
      <c r="X59" s="160">
        <f t="shared" si="1"/>
        <v>-1.6285831418792531E-5</v>
      </c>
      <c r="Y59" s="150">
        <f t="shared" si="16"/>
        <v>0</v>
      </c>
      <c r="Z59" s="150">
        <f t="shared" si="17"/>
        <v>-3.257166283758506E-3</v>
      </c>
      <c r="AA59" s="17">
        <f t="shared" si="2"/>
        <v>1.8398637184865542E-2</v>
      </c>
      <c r="AB59" s="17">
        <f t="shared" si="3"/>
        <v>0</v>
      </c>
      <c r="AC59" s="17">
        <f t="shared" si="18"/>
        <v>3.6797274369731086</v>
      </c>
      <c r="AD59" s="17">
        <f t="shared" si="19"/>
        <v>0</v>
      </c>
      <c r="AE59" s="150">
        <f t="shared" si="4"/>
        <v>0</v>
      </c>
      <c r="AF59" s="151">
        <f t="shared" si="5"/>
        <v>-1.14540630189375E-6</v>
      </c>
      <c r="AG59" s="150">
        <f t="shared" si="20"/>
        <v>0</v>
      </c>
      <c r="AH59" s="150">
        <f t="shared" si="21"/>
        <v>-2.2908126037874999E-4</v>
      </c>
      <c r="AI59" s="131">
        <f t="shared" si="22"/>
        <v>3.6797274369731086</v>
      </c>
      <c r="AJ59" s="131">
        <f t="shared" si="23"/>
        <v>-3.4862475441372561E-3</v>
      </c>
    </row>
    <row r="60" spans="4:36">
      <c r="D60" s="144" t="s">
        <v>308</v>
      </c>
      <c r="E60" s="107">
        <v>7.4615341499999985</v>
      </c>
      <c r="F60" s="144">
        <v>3.37</v>
      </c>
      <c r="G60" s="17"/>
      <c r="H60" s="107">
        <v>55.269469500000007</v>
      </c>
      <c r="I60" s="107">
        <v>57.784189050000002</v>
      </c>
      <c r="J60" s="131">
        <f t="shared" si="6"/>
        <v>55.269469500000007</v>
      </c>
      <c r="K60" s="131">
        <f t="shared" si="7"/>
        <v>57.784189050000002</v>
      </c>
      <c r="L60" s="17"/>
      <c r="M60" s="17"/>
      <c r="N60" s="148">
        <f t="shared" si="8"/>
        <v>1.7234728330728082</v>
      </c>
      <c r="O60" s="148">
        <v>0</v>
      </c>
      <c r="P60" s="149">
        <f t="shared" si="9"/>
        <v>0.58022382529644145</v>
      </c>
      <c r="Q60" s="131">
        <f t="shared" si="10"/>
        <v>32.068663015395003</v>
      </c>
      <c r="R60" s="17">
        <f t="shared" si="11"/>
        <v>0</v>
      </c>
      <c r="S60" s="131">
        <f t="shared" si="12"/>
        <v>-9.3811851258333192</v>
      </c>
      <c r="T60" s="131">
        <f t="shared" si="13"/>
        <v>19.65629808626111</v>
      </c>
      <c r="U60" s="156">
        <f t="shared" si="14"/>
        <v>51.063546042816256</v>
      </c>
      <c r="V60" s="17">
        <f t="shared" si="15"/>
        <v>0</v>
      </c>
      <c r="W60" s="150">
        <f t="shared" si="0"/>
        <v>0</v>
      </c>
      <c r="X60" s="160">
        <f t="shared" si="1"/>
        <v>-6.1762463378424075E-3</v>
      </c>
      <c r="Y60" s="150">
        <f t="shared" si="16"/>
        <v>0</v>
      </c>
      <c r="Z60" s="150">
        <f t="shared" si="17"/>
        <v>-1.2352492675684814</v>
      </c>
      <c r="AA60" s="17">
        <f t="shared" si="2"/>
        <v>6.3475343896311626E-2</v>
      </c>
      <c r="AB60" s="17">
        <f t="shared" si="3"/>
        <v>0</v>
      </c>
      <c r="AC60" s="17">
        <f t="shared" si="18"/>
        <v>12.695068779262325</v>
      </c>
      <c r="AD60" s="17">
        <f t="shared" si="19"/>
        <v>0</v>
      </c>
      <c r="AE60" s="150">
        <f t="shared" si="4"/>
        <v>0</v>
      </c>
      <c r="AF60" s="151">
        <f t="shared" si="5"/>
        <v>-4.3438442259998507E-4</v>
      </c>
      <c r="AG60" s="150">
        <f t="shared" si="20"/>
        <v>0</v>
      </c>
      <c r="AH60" s="150">
        <f t="shared" si="21"/>
        <v>-8.6876884519997019E-2</v>
      </c>
      <c r="AI60" s="131">
        <f t="shared" si="22"/>
        <v>12.695068779262325</v>
      </c>
      <c r="AJ60" s="131">
        <f t="shared" si="23"/>
        <v>-1.3221261520884784</v>
      </c>
    </row>
    <row r="61" spans="4:36">
      <c r="D61" s="144" t="s">
        <v>309</v>
      </c>
      <c r="E61" s="107">
        <v>7.4615341499999985</v>
      </c>
      <c r="F61" s="144">
        <v>3.37</v>
      </c>
      <c r="G61" s="17"/>
      <c r="H61" s="107">
        <v>55.269469500000007</v>
      </c>
      <c r="I61" s="107">
        <v>51.236942400000004</v>
      </c>
      <c r="J61" s="131">
        <f t="shared" si="6"/>
        <v>55.269469500000007</v>
      </c>
      <c r="K61" s="131">
        <f t="shared" si="7"/>
        <v>51.236942400000004</v>
      </c>
      <c r="L61" s="17"/>
      <c r="M61" s="17"/>
      <c r="N61" s="148">
        <f t="shared" si="8"/>
        <v>1.7234728330728082</v>
      </c>
      <c r="O61" s="148">
        <v>0</v>
      </c>
      <c r="P61" s="149">
        <f t="shared" si="9"/>
        <v>0.58022382529644145</v>
      </c>
      <c r="Q61" s="131">
        <f t="shared" si="10"/>
        <v>32.068663015395003</v>
      </c>
      <c r="R61" s="17">
        <f t="shared" si="11"/>
        <v>0</v>
      </c>
      <c r="S61" s="131">
        <f t="shared" si="12"/>
        <v>-9.3811851258333192</v>
      </c>
      <c r="T61" s="131">
        <f t="shared" si="13"/>
        <v>13.109051436261112</v>
      </c>
      <c r="U61" s="156">
        <f t="shared" si="14"/>
        <v>51.063546042816256</v>
      </c>
      <c r="V61" s="17">
        <f t="shared" si="15"/>
        <v>0</v>
      </c>
      <c r="W61" s="150">
        <f t="shared" si="0"/>
        <v>0</v>
      </c>
      <c r="X61" s="160">
        <f t="shared" si="1"/>
        <v>-6.1762463378424075E-3</v>
      </c>
      <c r="Y61" s="150">
        <f t="shared" si="16"/>
        <v>0</v>
      </c>
      <c r="Z61" s="150">
        <f t="shared" si="17"/>
        <v>-1.2352492675684814</v>
      </c>
      <c r="AA61" s="17">
        <f t="shared" si="2"/>
        <v>6.3475343896311626E-2</v>
      </c>
      <c r="AB61" s="17">
        <f t="shared" si="3"/>
        <v>0</v>
      </c>
      <c r="AC61" s="17">
        <f t="shared" si="18"/>
        <v>12.695068779262325</v>
      </c>
      <c r="AD61" s="17">
        <f t="shared" si="19"/>
        <v>0</v>
      </c>
      <c r="AE61" s="150">
        <f t="shared" si="4"/>
        <v>0</v>
      </c>
      <c r="AF61" s="151">
        <f t="shared" si="5"/>
        <v>-4.3438442259998507E-4</v>
      </c>
      <c r="AG61" s="150">
        <f t="shared" si="20"/>
        <v>0</v>
      </c>
      <c r="AH61" s="150">
        <f t="shared" si="21"/>
        <v>-8.6876884519997019E-2</v>
      </c>
      <c r="AI61" s="131">
        <f t="shared" si="22"/>
        <v>12.695068779262325</v>
      </c>
      <c r="AJ61" s="131">
        <f t="shared" si="23"/>
        <v>-1.3221261520884784</v>
      </c>
    </row>
    <row r="62" spans="4:36">
      <c r="D62" s="144" t="s">
        <v>310</v>
      </c>
      <c r="E62" s="107">
        <v>7.5810913499999941</v>
      </c>
      <c r="F62" s="144">
        <v>3.37</v>
      </c>
      <c r="G62" s="17"/>
      <c r="H62" s="107">
        <v>55.167204750000003</v>
      </c>
      <c r="I62" s="107">
        <v>25.162402019999998</v>
      </c>
      <c r="J62" s="131">
        <f t="shared" si="6"/>
        <v>55.167204750000003</v>
      </c>
      <c r="K62" s="131">
        <f t="shared" si="7"/>
        <v>25.162402019999998</v>
      </c>
      <c r="L62" s="17"/>
      <c r="M62" s="17"/>
      <c r="N62" s="148">
        <f t="shared" si="8"/>
        <v>1.6849428499582493</v>
      </c>
      <c r="O62" s="148">
        <v>0</v>
      </c>
      <c r="P62" s="149">
        <f t="shared" si="9"/>
        <v>0.59349193951876689</v>
      </c>
      <c r="Q62" s="131">
        <f t="shared" si="10"/>
        <v>32.741291344906429</v>
      </c>
      <c r="R62" s="17">
        <f t="shared" si="11"/>
        <v>0</v>
      </c>
      <c r="S62" s="131">
        <f t="shared" si="12"/>
        <v>-9.4834498758333226</v>
      </c>
      <c r="T62" s="131">
        <f t="shared" si="13"/>
        <v>-12.965488943738894</v>
      </c>
      <c r="U62" s="156">
        <f t="shared" si="14"/>
        <v>53.376185162405683</v>
      </c>
      <c r="V62" s="17">
        <f t="shared" si="15"/>
        <v>0</v>
      </c>
      <c r="W62" s="150">
        <f t="shared" si="0"/>
        <v>0</v>
      </c>
      <c r="X62" s="160">
        <f t="shared" si="1"/>
        <v>-6.3863471638832001E-3</v>
      </c>
      <c r="Y62" s="150">
        <f t="shared" si="16"/>
        <v>0</v>
      </c>
      <c r="Z62" s="150">
        <f t="shared" si="17"/>
        <v>-1.2772694327766401</v>
      </c>
      <c r="AA62" s="17">
        <f t="shared" si="2"/>
        <v>6.4926849464335079E-2</v>
      </c>
      <c r="AB62" s="17">
        <f t="shared" si="3"/>
        <v>0</v>
      </c>
      <c r="AC62" s="17">
        <f t="shared" si="18"/>
        <v>12.985369892867016</v>
      </c>
      <c r="AD62" s="17">
        <f t="shared" si="19"/>
        <v>0</v>
      </c>
      <c r="AE62" s="150">
        <f t="shared" si="4"/>
        <v>0</v>
      </c>
      <c r="AF62" s="151">
        <f t="shared" si="5"/>
        <v>-4.4916112045420174E-4</v>
      </c>
      <c r="AG62" s="150">
        <f t="shared" si="20"/>
        <v>0</v>
      </c>
      <c r="AH62" s="150">
        <f t="shared" si="21"/>
        <v>-8.9832224090840351E-2</v>
      </c>
      <c r="AI62" s="131">
        <f t="shared" si="22"/>
        <v>12.985369892867016</v>
      </c>
      <c r="AJ62" s="131">
        <f t="shared" si="23"/>
        <v>-1.3671016568674803</v>
      </c>
    </row>
    <row r="63" spans="4:36">
      <c r="D63" s="144" t="s">
        <v>311</v>
      </c>
      <c r="E63" s="107">
        <v>9.1990867500000064</v>
      </c>
      <c r="F63" s="144">
        <v>3.37</v>
      </c>
      <c r="G63" s="17"/>
      <c r="H63" s="107">
        <v>53.613954450000001</v>
      </c>
      <c r="I63" s="107">
        <v>18.643825620000001</v>
      </c>
      <c r="J63" s="131">
        <f t="shared" si="6"/>
        <v>53.613954450000001</v>
      </c>
      <c r="K63" s="131">
        <f t="shared" si="7"/>
        <v>18.643825620000001</v>
      </c>
      <c r="L63" s="17"/>
      <c r="M63" s="17"/>
      <c r="N63" s="148">
        <f t="shared" si="8"/>
        <v>1.2956819201419196</v>
      </c>
      <c r="O63" s="148">
        <v>0</v>
      </c>
      <c r="P63" s="149">
        <f t="shared" si="9"/>
        <v>0.77179436129699741</v>
      </c>
      <c r="Q63" s="131">
        <f t="shared" si="10"/>
        <v>41.378947731344063</v>
      </c>
      <c r="R63" s="17">
        <f t="shared" si="11"/>
        <v>0</v>
      </c>
      <c r="S63" s="131">
        <f t="shared" si="12"/>
        <v>-11.036700175833325</v>
      </c>
      <c r="T63" s="131">
        <f t="shared" si="13"/>
        <v>-19.484065343738891</v>
      </c>
      <c r="U63" s="156">
        <f t="shared" si="14"/>
        <v>94.011307001873803</v>
      </c>
      <c r="V63" s="17">
        <f t="shared" si="15"/>
        <v>0</v>
      </c>
      <c r="W63" s="150">
        <f t="shared" si="0"/>
        <v>0</v>
      </c>
      <c r="X63" s="160">
        <f t="shared" si="1"/>
        <v>-9.6652299518114552E-3</v>
      </c>
      <c r="Y63" s="150">
        <f t="shared" si="16"/>
        <v>0</v>
      </c>
      <c r="Z63" s="150">
        <f t="shared" si="17"/>
        <v>-1.933045990362291</v>
      </c>
      <c r="AA63" s="17">
        <f t="shared" si="2"/>
        <v>8.4432783289331001E-2</v>
      </c>
      <c r="AB63" s="17">
        <f t="shared" si="3"/>
        <v>0</v>
      </c>
      <c r="AC63" s="17">
        <f t="shared" si="18"/>
        <v>16.886556657866201</v>
      </c>
      <c r="AD63" s="17">
        <f t="shared" si="19"/>
        <v>0</v>
      </c>
      <c r="AE63" s="150">
        <f t="shared" si="4"/>
        <v>0</v>
      </c>
      <c r="AF63" s="151">
        <f t="shared" si="5"/>
        <v>-6.7976973427850138E-4</v>
      </c>
      <c r="AG63" s="150">
        <f t="shared" si="20"/>
        <v>0</v>
      </c>
      <c r="AH63" s="150">
        <f t="shared" si="21"/>
        <v>-0.13595394685570028</v>
      </c>
      <c r="AI63" s="131">
        <f t="shared" si="22"/>
        <v>16.886556657866201</v>
      </c>
      <c r="AJ63" s="131">
        <f t="shared" si="23"/>
        <v>-2.068999937217991</v>
      </c>
    </row>
    <row r="64" spans="4:36">
      <c r="D64" s="144" t="s">
        <v>312</v>
      </c>
      <c r="E64" s="107">
        <v>5.5788242999999937</v>
      </c>
      <c r="F64" s="144">
        <v>3.37</v>
      </c>
      <c r="G64" s="17"/>
      <c r="H64" s="107">
        <v>68.108142900000004</v>
      </c>
      <c r="I64" s="107">
        <v>14.470529850000002</v>
      </c>
      <c r="J64" s="131">
        <f t="shared" si="6"/>
        <v>68.108142900000004</v>
      </c>
      <c r="K64" s="131">
        <f t="shared" si="7"/>
        <v>14.470529850000002</v>
      </c>
      <c r="L64" s="17"/>
      <c r="M64" s="17"/>
      <c r="N64" s="148">
        <f t="shared" si="8"/>
        <v>2.6939114146425882</v>
      </c>
      <c r="O64" s="148">
        <v>0</v>
      </c>
      <c r="P64" s="149">
        <f t="shared" si="9"/>
        <v>0.3712074549165062</v>
      </c>
      <c r="Q64" s="131">
        <f t="shared" si="10"/>
        <v>25.282250384998711</v>
      </c>
      <c r="R64" s="17">
        <f t="shared" si="11"/>
        <v>0</v>
      </c>
      <c r="S64" s="131">
        <f t="shared" si="12"/>
        <v>3.4574882741666784</v>
      </c>
      <c r="T64" s="131">
        <f t="shared" si="13"/>
        <v>-23.65736111373889</v>
      </c>
      <c r="U64" s="156">
        <f t="shared" si="14"/>
        <v>4.4374974993697371</v>
      </c>
      <c r="V64" s="17">
        <f t="shared" si="15"/>
        <v>0</v>
      </c>
      <c r="W64" s="150">
        <f t="shared" si="0"/>
        <v>0</v>
      </c>
      <c r="X64" s="160">
        <f t="shared" si="1"/>
        <v>1.4562929617231277E-3</v>
      </c>
      <c r="Y64" s="150">
        <f t="shared" si="16"/>
        <v>0</v>
      </c>
      <c r="Z64" s="150">
        <f t="shared" si="17"/>
        <v>0.29125859234462553</v>
      </c>
      <c r="AA64" s="17">
        <f t="shared" si="2"/>
        <v>4.0609364576957047E-2</v>
      </c>
      <c r="AB64" s="17">
        <f t="shared" si="3"/>
        <v>0</v>
      </c>
      <c r="AC64" s="17">
        <f t="shared" si="18"/>
        <v>8.1218729153914087</v>
      </c>
      <c r="AD64" s="17">
        <f t="shared" si="19"/>
        <v>0</v>
      </c>
      <c r="AE64" s="150">
        <f t="shared" si="4"/>
        <v>0</v>
      </c>
      <c r="AF64" s="151">
        <f t="shared" si="5"/>
        <v>1.0242321026585063E-4</v>
      </c>
      <c r="AG64" s="150">
        <f t="shared" si="20"/>
        <v>0</v>
      </c>
      <c r="AH64" s="150">
        <f t="shared" si="21"/>
        <v>2.0484642053170125E-2</v>
      </c>
      <c r="AI64" s="131">
        <f t="shared" si="22"/>
        <v>8.1218729153914087</v>
      </c>
      <c r="AJ64" s="131">
        <f t="shared" si="23"/>
        <v>0.31174323439779567</v>
      </c>
    </row>
    <row r="65" spans="4:36">
      <c r="D65" s="144" t="s">
        <v>313</v>
      </c>
      <c r="E65" s="107">
        <v>5.5788242999999937</v>
      </c>
      <c r="F65" s="144">
        <v>3.37</v>
      </c>
      <c r="G65" s="17"/>
      <c r="H65" s="107">
        <v>68.108142900000004</v>
      </c>
      <c r="I65" s="107">
        <v>14.470529850000002</v>
      </c>
      <c r="J65" s="131">
        <f t="shared" ref="J65" si="24">H65-$J$19</f>
        <v>68.108142900000004</v>
      </c>
      <c r="K65" s="131">
        <f t="shared" ref="K65" si="25">I65-$J$20</f>
        <v>14.470529850000002</v>
      </c>
      <c r="L65" s="17"/>
      <c r="M65" s="17"/>
      <c r="N65" s="148">
        <f t="shared" ref="N65" si="26">4*(F65/E65)^3+3*(F65/E65)</f>
        <v>2.6939114146425882</v>
      </c>
      <c r="O65" s="148">
        <v>0</v>
      </c>
      <c r="P65" s="149">
        <f t="shared" ref="P65" si="27">1/N65</f>
        <v>0.3712074549165062</v>
      </c>
      <c r="Q65" s="131">
        <f t="shared" ref="Q65" si="28">P65*J65</f>
        <v>25.282250384998711</v>
      </c>
      <c r="R65" s="17">
        <f t="shared" ref="R65" si="29">O65*K65</f>
        <v>0</v>
      </c>
      <c r="S65" s="131">
        <f t="shared" ref="S65" si="30">J65-$J$34</f>
        <v>3.4574882741666784</v>
      </c>
      <c r="T65" s="131">
        <f t="shared" ref="T65" si="31">K65-$J$35</f>
        <v>-23.65736111373889</v>
      </c>
      <c r="U65" s="156">
        <f t="shared" ref="U65" si="32">P65*S65^2</f>
        <v>4.4374974993697371</v>
      </c>
      <c r="V65" s="17">
        <f t="shared" ref="V65" si="33">R65*T65^2</f>
        <v>0</v>
      </c>
      <c r="W65" s="150">
        <f t="shared" si="0"/>
        <v>0</v>
      </c>
      <c r="X65" s="160">
        <f t="shared" si="1"/>
        <v>1.4562929617231277E-3</v>
      </c>
      <c r="Y65" s="150">
        <f t="shared" ref="Y65" si="34">$J$28*W65</f>
        <v>0</v>
      </c>
      <c r="Z65" s="150">
        <f t="shared" ref="Z65" si="35">$J$29*X65</f>
        <v>0.29125859234462553</v>
      </c>
      <c r="AA65" s="17">
        <f t="shared" si="2"/>
        <v>4.0609364576957047E-2</v>
      </c>
      <c r="AB65" s="17">
        <f t="shared" si="3"/>
        <v>0</v>
      </c>
      <c r="AC65" s="17">
        <f t="shared" ref="AC65" si="36">AA65*$J$28</f>
        <v>8.1218729153914087</v>
      </c>
      <c r="AD65" s="17">
        <f t="shared" ref="AD65" si="37">AB65*$J$29</f>
        <v>0</v>
      </c>
      <c r="AE65" s="150">
        <f t="shared" si="4"/>
        <v>0</v>
      </c>
      <c r="AF65" s="151">
        <f t="shared" si="5"/>
        <v>1.0242321026585063E-4</v>
      </c>
      <c r="AG65" s="150">
        <f t="shared" ref="AG65" si="38">$J$29*AE65</f>
        <v>0</v>
      </c>
      <c r="AH65" s="150">
        <f t="shared" ref="AH65" si="39">$J$28*AF65</f>
        <v>2.0484642053170125E-2</v>
      </c>
      <c r="AI65" s="131">
        <f t="shared" ref="AI65" si="40">Y65+AC65+AG65</f>
        <v>8.1218729153914087</v>
      </c>
      <c r="AJ65" s="131">
        <f t="shared" ref="AJ65" si="41">Z65+AD65+AH65</f>
        <v>0.31174323439779567</v>
      </c>
    </row>
    <row r="66" spans="4:36">
      <c r="D66" s="144" t="s">
        <v>387</v>
      </c>
      <c r="E66" s="107">
        <v>5.5788242999999937</v>
      </c>
      <c r="F66" s="144">
        <v>3.37</v>
      </c>
      <c r="G66" s="17"/>
      <c r="H66" s="107">
        <v>68.108142900000004</v>
      </c>
      <c r="I66" s="107">
        <v>14.470529850000002</v>
      </c>
      <c r="J66" s="131">
        <f t="shared" si="6"/>
        <v>68.108142900000004</v>
      </c>
      <c r="K66" s="131">
        <f t="shared" si="7"/>
        <v>14.470529850000002</v>
      </c>
      <c r="L66" s="17"/>
      <c r="M66" s="17"/>
      <c r="N66" s="148">
        <f t="shared" si="8"/>
        <v>2.6939114146425882</v>
      </c>
      <c r="O66" s="148">
        <v>0</v>
      </c>
      <c r="P66" s="149">
        <f t="shared" si="9"/>
        <v>0.3712074549165062</v>
      </c>
      <c r="Q66" s="131">
        <f t="shared" si="10"/>
        <v>25.282250384998711</v>
      </c>
      <c r="R66" s="17">
        <f t="shared" si="11"/>
        <v>0</v>
      </c>
      <c r="S66" s="131">
        <f t="shared" si="12"/>
        <v>3.4574882741666784</v>
      </c>
      <c r="T66" s="131">
        <f t="shared" si="13"/>
        <v>-23.65736111373889</v>
      </c>
      <c r="U66" s="156">
        <f t="shared" si="14"/>
        <v>4.4374974993697371</v>
      </c>
      <c r="V66" s="17">
        <f t="shared" si="15"/>
        <v>0</v>
      </c>
      <c r="W66" s="150">
        <f t="shared" si="0"/>
        <v>0</v>
      </c>
      <c r="X66" s="160">
        <f t="shared" si="1"/>
        <v>1.4562929617231277E-3</v>
      </c>
      <c r="Y66" s="150">
        <f t="shared" si="16"/>
        <v>0</v>
      </c>
      <c r="Z66" s="150">
        <f t="shared" si="17"/>
        <v>0.29125859234462553</v>
      </c>
      <c r="AA66" s="17">
        <f t="shared" si="2"/>
        <v>4.0609364576957047E-2</v>
      </c>
      <c r="AB66" s="17">
        <f t="shared" si="3"/>
        <v>0</v>
      </c>
      <c r="AC66" s="17">
        <f t="shared" si="18"/>
        <v>8.1218729153914087</v>
      </c>
      <c r="AD66" s="17">
        <f t="shared" si="19"/>
        <v>0</v>
      </c>
      <c r="AE66" s="150">
        <f t="shared" si="4"/>
        <v>0</v>
      </c>
      <c r="AF66" s="151">
        <f t="shared" si="5"/>
        <v>1.0242321026585063E-4</v>
      </c>
      <c r="AG66" s="150">
        <f t="shared" si="20"/>
        <v>0</v>
      </c>
      <c r="AH66" s="150">
        <f t="shared" si="21"/>
        <v>2.0484642053170125E-2</v>
      </c>
      <c r="AI66" s="131">
        <f t="shared" si="22"/>
        <v>8.1218729153914087</v>
      </c>
      <c r="AJ66" s="131">
        <f t="shared" si="23"/>
        <v>0.31174323439779567</v>
      </c>
    </row>
    <row r="67" spans="4:36">
      <c r="D67" s="144" t="s">
        <v>388</v>
      </c>
      <c r="E67" s="107">
        <v>5.5788242999999937</v>
      </c>
      <c r="F67" s="144">
        <v>3.37</v>
      </c>
      <c r="G67" s="17"/>
      <c r="H67" s="107">
        <v>68.108142900000004</v>
      </c>
      <c r="I67" s="107">
        <v>14.470529850000002</v>
      </c>
      <c r="J67" s="131">
        <f t="shared" ref="J67" si="42">H67-$J$19</f>
        <v>68.108142900000004</v>
      </c>
      <c r="K67" s="131">
        <f t="shared" ref="K67" si="43">I67-$J$20</f>
        <v>14.470529850000002</v>
      </c>
      <c r="L67" s="17"/>
      <c r="M67" s="17"/>
      <c r="N67" s="148">
        <f t="shared" ref="N67" si="44">4*(F67/E67)^3+3*(F67/E67)</f>
        <v>2.6939114146425882</v>
      </c>
      <c r="O67" s="148">
        <v>0</v>
      </c>
      <c r="P67" s="149">
        <f t="shared" ref="P67" si="45">1/N67</f>
        <v>0.3712074549165062</v>
      </c>
      <c r="Q67" s="131">
        <f t="shared" ref="Q67" si="46">P67*J67</f>
        <v>25.282250384998711</v>
      </c>
      <c r="R67" s="17">
        <f t="shared" ref="R67" si="47">O67*K67</f>
        <v>0</v>
      </c>
      <c r="S67" s="131">
        <f t="shared" ref="S67" si="48">J67-$J$34</f>
        <v>3.4574882741666784</v>
      </c>
      <c r="T67" s="131">
        <f t="shared" ref="T67" si="49">K67-$J$35</f>
        <v>-23.65736111373889</v>
      </c>
      <c r="U67" s="156">
        <f t="shared" ref="U67" si="50">P67*S67^2</f>
        <v>4.4374974993697371</v>
      </c>
      <c r="V67" s="17">
        <f t="shared" ref="V67" si="51">R67*T67^2</f>
        <v>0</v>
      </c>
      <c r="W67" s="150">
        <f t="shared" si="0"/>
        <v>0</v>
      </c>
      <c r="X67" s="160">
        <f t="shared" si="1"/>
        <v>1.4562929617231277E-3</v>
      </c>
      <c r="Y67" s="150">
        <f t="shared" ref="Y67" si="52">$J$28*W67</f>
        <v>0</v>
      </c>
      <c r="Z67" s="150">
        <f t="shared" ref="Z67" si="53">$J$29*X67</f>
        <v>0.29125859234462553</v>
      </c>
      <c r="AA67" s="17">
        <f t="shared" si="2"/>
        <v>4.0609364576957047E-2</v>
      </c>
      <c r="AB67" s="17">
        <f t="shared" si="3"/>
        <v>0</v>
      </c>
      <c r="AC67" s="17">
        <f t="shared" ref="AC67" si="54">AA67*$J$28</f>
        <v>8.1218729153914087</v>
      </c>
      <c r="AD67" s="17">
        <f t="shared" ref="AD67" si="55">AB67*$J$29</f>
        <v>0</v>
      </c>
      <c r="AE67" s="150">
        <f t="shared" si="4"/>
        <v>0</v>
      </c>
      <c r="AF67" s="151">
        <f t="shared" si="5"/>
        <v>1.0242321026585063E-4</v>
      </c>
      <c r="AG67" s="150">
        <f t="shared" ref="AG67" si="56">$J$29*AE67</f>
        <v>0</v>
      </c>
      <c r="AH67" s="150">
        <f t="shared" ref="AH67" si="57">$J$28*AF67</f>
        <v>2.0484642053170125E-2</v>
      </c>
      <c r="AI67" s="131">
        <f t="shared" ref="AI67" si="58">Y67+AC67+AG67</f>
        <v>8.1218729153914087</v>
      </c>
      <c r="AJ67" s="131">
        <f t="shared" ref="AJ67" si="59">Z67+AD67+AH67</f>
        <v>0.31174323439779567</v>
      </c>
    </row>
    <row r="68" spans="4:36">
      <c r="D68" s="145" t="s">
        <v>389</v>
      </c>
      <c r="E68" s="146">
        <v>5.6131383000000028</v>
      </c>
      <c r="F68" s="145">
        <v>3.37</v>
      </c>
      <c r="G68" s="147"/>
      <c r="H68" s="146">
        <v>63.553772100000003</v>
      </c>
      <c r="I68" s="146">
        <v>7.7122024350000009</v>
      </c>
      <c r="J68" s="133">
        <f t="shared" si="6"/>
        <v>63.553772100000003</v>
      </c>
      <c r="K68" s="133">
        <f t="shared" si="7"/>
        <v>7.7122024350000009</v>
      </c>
      <c r="L68" s="147"/>
      <c r="M68" s="147"/>
      <c r="N68" s="152">
        <f t="shared" si="8"/>
        <v>2.666761794840792</v>
      </c>
      <c r="O68" s="152">
        <v>0</v>
      </c>
      <c r="P68" s="153">
        <f t="shared" si="9"/>
        <v>0.37498662307770947</v>
      </c>
      <c r="Q68" s="133">
        <f t="shared" si="10"/>
        <v>23.83181438362935</v>
      </c>
      <c r="R68" s="147">
        <f t="shared" si="11"/>
        <v>0</v>
      </c>
      <c r="S68" s="133">
        <f t="shared" si="12"/>
        <v>-1.0968825258333226</v>
      </c>
      <c r="T68" s="133">
        <f t="shared" si="13"/>
        <v>-30.41568852873889</v>
      </c>
      <c r="U68" s="157">
        <f t="shared" si="14"/>
        <v>0.45116563384331781</v>
      </c>
      <c r="V68" s="147">
        <f t="shared" si="15"/>
        <v>0</v>
      </c>
      <c r="W68" s="154">
        <f t="shared" si="0"/>
        <v>0</v>
      </c>
      <c r="X68" s="161">
        <f t="shared" si="1"/>
        <v>-4.6671014185320682E-4</v>
      </c>
      <c r="Y68" s="154">
        <f t="shared" si="16"/>
        <v>0</v>
      </c>
      <c r="Z68" s="154">
        <f t="shared" si="17"/>
        <v>-9.3342028370641358E-2</v>
      </c>
      <c r="AA68" s="147">
        <f t="shared" si="2"/>
        <v>4.1022798131761198E-2</v>
      </c>
      <c r="AB68" s="147">
        <f t="shared" si="3"/>
        <v>0</v>
      </c>
      <c r="AC68" s="147">
        <f t="shared" si="18"/>
        <v>8.2045596263522391</v>
      </c>
      <c r="AD68" s="147">
        <f t="shared" si="19"/>
        <v>0</v>
      </c>
      <c r="AE68" s="154">
        <f t="shared" si="4"/>
        <v>0</v>
      </c>
      <c r="AF68" s="155">
        <f t="shared" si="5"/>
        <v>-3.2824405699025931E-5</v>
      </c>
      <c r="AG68" s="154">
        <f t="shared" si="20"/>
        <v>0</v>
      </c>
      <c r="AH68" s="154">
        <f t="shared" si="21"/>
        <v>-6.5648811398051864E-3</v>
      </c>
      <c r="AI68" s="133">
        <f t="shared" si="22"/>
        <v>8.2045596263522391</v>
      </c>
      <c r="AJ68" s="133">
        <f t="shared" si="23"/>
        <v>-9.9906909510446548E-2</v>
      </c>
    </row>
    <row r="69" spans="4:36">
      <c r="D69" s="144" t="s">
        <v>390</v>
      </c>
      <c r="E69" s="107">
        <v>6.4552761000000061</v>
      </c>
      <c r="F69" s="144">
        <v>3.37</v>
      </c>
      <c r="G69" s="17"/>
      <c r="H69" s="107">
        <v>64.647530849999995</v>
      </c>
      <c r="I69" s="107">
        <v>60.017443499999999</v>
      </c>
      <c r="J69" s="131">
        <f t="shared" si="6"/>
        <v>64.647530849999995</v>
      </c>
      <c r="K69" s="131">
        <f t="shared" si="7"/>
        <v>60.017443499999999</v>
      </c>
      <c r="L69" s="17"/>
      <c r="M69" s="17"/>
      <c r="N69" s="148">
        <f t="shared" si="8"/>
        <v>2.1352825483423028</v>
      </c>
      <c r="O69" s="148">
        <f>1/N69</f>
        <v>0.46832209665944968</v>
      </c>
      <c r="P69" s="149">
        <v>0</v>
      </c>
      <c r="Q69" s="131">
        <f t="shared" si="10"/>
        <v>0</v>
      </c>
      <c r="R69" s="131">
        <f>O69*K69</f>
        <v>28.10749497606006</v>
      </c>
      <c r="S69" s="131">
        <f t="shared" si="12"/>
        <v>-3.1237758333304555E-3</v>
      </c>
      <c r="T69" s="131">
        <f t="shared" si="13"/>
        <v>21.889552536261107</v>
      </c>
      <c r="U69" s="17">
        <f t="shared" si="14"/>
        <v>0</v>
      </c>
      <c r="V69" s="131">
        <f t="shared" si="15"/>
        <v>13467.776774273705</v>
      </c>
      <c r="W69" s="158">
        <f t="shared" si="0"/>
        <v>8.4611078661831918E-3</v>
      </c>
      <c r="X69" s="150">
        <f t="shared" si="1"/>
        <v>0</v>
      </c>
      <c r="Y69" s="150">
        <f t="shared" si="16"/>
        <v>1.6922215732366384</v>
      </c>
      <c r="Z69" s="150">
        <f t="shared" si="17"/>
        <v>0</v>
      </c>
      <c r="AA69" s="17">
        <f t="shared" si="2"/>
        <v>0</v>
      </c>
      <c r="AB69" s="17">
        <f t="shared" si="3"/>
        <v>0.1194642703984265</v>
      </c>
      <c r="AC69" s="17">
        <f t="shared" si="18"/>
        <v>0</v>
      </c>
      <c r="AD69" s="17">
        <f t="shared" si="19"/>
        <v>23.8928540796853</v>
      </c>
      <c r="AE69" s="150">
        <f t="shared" si="4"/>
        <v>2.2534734987744594E-3</v>
      </c>
      <c r="AF69" s="151">
        <f t="shared" si="5"/>
        <v>0</v>
      </c>
      <c r="AG69" s="150">
        <f t="shared" si="20"/>
        <v>0.4506946997548919</v>
      </c>
      <c r="AH69" s="150">
        <f t="shared" si="21"/>
        <v>0</v>
      </c>
      <c r="AI69" s="131">
        <f t="shared" si="22"/>
        <v>2.1429162729915303</v>
      </c>
      <c r="AJ69" s="131">
        <f t="shared" si="23"/>
        <v>23.8928540796853</v>
      </c>
    </row>
    <row r="70" spans="4:36">
      <c r="D70" s="144" t="s">
        <v>294</v>
      </c>
      <c r="E70" s="107">
        <v>5.9934367500000008</v>
      </c>
      <c r="F70" s="144">
        <v>3.37</v>
      </c>
      <c r="G70" s="17"/>
      <c r="H70" s="107">
        <v>62.813041200000008</v>
      </c>
      <c r="I70" s="107">
        <v>48.321561750000001</v>
      </c>
      <c r="J70" s="131">
        <f t="shared" si="6"/>
        <v>62.813041200000008</v>
      </c>
      <c r="K70" s="131">
        <f t="shared" si="7"/>
        <v>48.321561750000001</v>
      </c>
      <c r="L70" s="17"/>
      <c r="M70" s="17"/>
      <c r="N70" s="148">
        <f t="shared" si="8"/>
        <v>2.3979308477774861</v>
      </c>
      <c r="O70" s="148">
        <f t="shared" ref="O70:O88" si="60">1/N70</f>
        <v>0.41702620445741651</v>
      </c>
      <c r="P70" s="149">
        <v>0</v>
      </c>
      <c r="Q70" s="131">
        <f t="shared" si="10"/>
        <v>0</v>
      </c>
      <c r="R70" s="131">
        <f t="shared" ref="R70:R88" si="61">O70*K70</f>
        <v>20.151357490057176</v>
      </c>
      <c r="S70" s="131">
        <f t="shared" si="12"/>
        <v>-1.8376134258333181</v>
      </c>
      <c r="T70" s="131">
        <f t="shared" si="13"/>
        <v>10.193670786261109</v>
      </c>
      <c r="U70" s="17">
        <f t="shared" si="14"/>
        <v>0</v>
      </c>
      <c r="V70" s="131">
        <f t="shared" si="15"/>
        <v>2093.9461786345601</v>
      </c>
      <c r="W70" s="158">
        <f t="shared" si="0"/>
        <v>3.5086467629395321E-3</v>
      </c>
      <c r="X70" s="150">
        <f t="shared" si="1"/>
        <v>0</v>
      </c>
      <c r="Y70" s="150">
        <f t="shared" si="16"/>
        <v>0.70172935258790647</v>
      </c>
      <c r="Z70" s="150">
        <f t="shared" si="17"/>
        <v>0</v>
      </c>
      <c r="AA70" s="17">
        <f t="shared" si="2"/>
        <v>0</v>
      </c>
      <c r="AB70" s="17">
        <f t="shared" si="3"/>
        <v>0.10637920270663156</v>
      </c>
      <c r="AC70" s="17">
        <f t="shared" si="18"/>
        <v>0</v>
      </c>
      <c r="AD70" s="17">
        <f t="shared" si="19"/>
        <v>21.275840541326314</v>
      </c>
      <c r="AE70" s="150">
        <f t="shared" si="4"/>
        <v>9.3446893975265171E-4</v>
      </c>
      <c r="AF70" s="151">
        <f t="shared" si="5"/>
        <v>0</v>
      </c>
      <c r="AG70" s="150">
        <f t="shared" si="20"/>
        <v>0.18689378795053035</v>
      </c>
      <c r="AH70" s="150">
        <f t="shared" si="21"/>
        <v>0</v>
      </c>
      <c r="AI70" s="131">
        <f t="shared" si="22"/>
        <v>0.88862314053843683</v>
      </c>
      <c r="AJ70" s="131">
        <f t="shared" si="23"/>
        <v>21.275840541326314</v>
      </c>
    </row>
    <row r="71" spans="4:36">
      <c r="D71" s="144" t="s">
        <v>296</v>
      </c>
      <c r="E71" s="107">
        <v>4.6430995799999977</v>
      </c>
      <c r="F71" s="144">
        <v>3.37</v>
      </c>
      <c r="G71" s="17"/>
      <c r="H71" s="107">
        <v>62.813041200000008</v>
      </c>
      <c r="I71" s="107">
        <v>42.309965670000004</v>
      </c>
      <c r="J71" s="131">
        <f t="shared" si="6"/>
        <v>62.813041200000008</v>
      </c>
      <c r="K71" s="131">
        <f t="shared" si="7"/>
        <v>42.309965670000004</v>
      </c>
      <c r="L71" s="17"/>
      <c r="M71" s="17"/>
      <c r="N71" s="148">
        <f t="shared" si="8"/>
        <v>3.7068410110948546</v>
      </c>
      <c r="O71" s="148">
        <f t="shared" si="60"/>
        <v>0.2697714838610355</v>
      </c>
      <c r="P71" s="149">
        <v>0</v>
      </c>
      <c r="Q71" s="131">
        <f t="shared" si="10"/>
        <v>0</v>
      </c>
      <c r="R71" s="131">
        <f t="shared" si="61"/>
        <v>11.414022220905371</v>
      </c>
      <c r="S71" s="131">
        <f t="shared" si="12"/>
        <v>-1.8376134258333181</v>
      </c>
      <c r="T71" s="131">
        <f t="shared" si="13"/>
        <v>4.1820747062611119</v>
      </c>
      <c r="U71" s="17">
        <f t="shared" si="14"/>
        <v>0</v>
      </c>
      <c r="V71" s="131">
        <f t="shared" si="15"/>
        <v>199.62838199767484</v>
      </c>
      <c r="W71" s="158">
        <f t="shared" si="0"/>
        <v>9.3117975584353834E-4</v>
      </c>
      <c r="X71" s="150">
        <f t="shared" si="1"/>
        <v>0</v>
      </c>
      <c r="Y71" s="150">
        <f t="shared" si="16"/>
        <v>0.18623595116870767</v>
      </c>
      <c r="Z71" s="150">
        <f t="shared" si="17"/>
        <v>0</v>
      </c>
      <c r="AA71" s="17">
        <f t="shared" si="2"/>
        <v>0</v>
      </c>
      <c r="AB71" s="17">
        <f t="shared" si="3"/>
        <v>6.881600019226683E-2</v>
      </c>
      <c r="AC71" s="17">
        <f t="shared" si="18"/>
        <v>0</v>
      </c>
      <c r="AD71" s="17">
        <f t="shared" si="19"/>
        <v>13.763200038453366</v>
      </c>
      <c r="AE71" s="150">
        <f t="shared" si="4"/>
        <v>2.4800403630065868E-4</v>
      </c>
      <c r="AF71" s="151">
        <f t="shared" si="5"/>
        <v>0</v>
      </c>
      <c r="AG71" s="150">
        <f t="shared" si="20"/>
        <v>4.9600807260131732E-2</v>
      </c>
      <c r="AH71" s="150">
        <f t="shared" si="21"/>
        <v>0</v>
      </c>
      <c r="AI71" s="131">
        <f t="shared" si="22"/>
        <v>0.23583675842883939</v>
      </c>
      <c r="AJ71" s="131">
        <f t="shared" si="23"/>
        <v>13.763200038453366</v>
      </c>
    </row>
    <row r="72" spans="4:36">
      <c r="D72" s="144" t="s">
        <v>298</v>
      </c>
      <c r="E72" s="107">
        <v>4.6186914900000033</v>
      </c>
      <c r="F72" s="144">
        <v>3.37</v>
      </c>
      <c r="G72" s="17"/>
      <c r="H72" s="107">
        <v>62.812770300000004</v>
      </c>
      <c r="I72" s="107">
        <v>29.335115354999999</v>
      </c>
      <c r="J72" s="131">
        <f t="shared" si="6"/>
        <v>62.812770300000004</v>
      </c>
      <c r="K72" s="131">
        <f t="shared" si="7"/>
        <v>29.335115354999999</v>
      </c>
      <c r="L72" s="17"/>
      <c r="M72" s="17"/>
      <c r="N72" s="148">
        <f t="shared" si="8"/>
        <v>3.7427234767041115</v>
      </c>
      <c r="O72" s="148">
        <f t="shared" si="60"/>
        <v>0.2671851143223149</v>
      </c>
      <c r="P72" s="149">
        <v>0</v>
      </c>
      <c r="Q72" s="131">
        <f t="shared" si="10"/>
        <v>0</v>
      </c>
      <c r="R72" s="131">
        <f t="shared" si="61"/>
        <v>7.8379061497839704</v>
      </c>
      <c r="S72" s="131">
        <f t="shared" si="12"/>
        <v>-1.837884325833322</v>
      </c>
      <c r="T72" s="131">
        <f t="shared" si="13"/>
        <v>-8.7927756087388929</v>
      </c>
      <c r="U72" s="17">
        <f t="shared" si="14"/>
        <v>0</v>
      </c>
      <c r="V72" s="131">
        <f t="shared" si="15"/>
        <v>605.97127714171666</v>
      </c>
      <c r="W72" s="158">
        <f t="shared" si="0"/>
        <v>-1.9390274049839507E-3</v>
      </c>
      <c r="X72" s="150">
        <f t="shared" si="1"/>
        <v>0</v>
      </c>
      <c r="Y72" s="150">
        <f t="shared" si="16"/>
        <v>-0.38780548099679013</v>
      </c>
      <c r="Z72" s="150">
        <f t="shared" si="17"/>
        <v>0</v>
      </c>
      <c r="AA72" s="17">
        <f t="shared" si="2"/>
        <v>0</v>
      </c>
      <c r="AB72" s="17">
        <f t="shared" si="3"/>
        <v>6.815624325974555E-2</v>
      </c>
      <c r="AC72" s="17">
        <f t="shared" si="18"/>
        <v>0</v>
      </c>
      <c r="AD72" s="17">
        <f t="shared" si="19"/>
        <v>13.631248651949109</v>
      </c>
      <c r="AE72" s="150">
        <f t="shared" si="4"/>
        <v>-5.1642727402077761E-4</v>
      </c>
      <c r="AF72" s="151">
        <f t="shared" si="5"/>
        <v>0</v>
      </c>
      <c r="AG72" s="150">
        <f t="shared" si="20"/>
        <v>-0.10328545480415552</v>
      </c>
      <c r="AH72" s="150">
        <f t="shared" si="21"/>
        <v>0</v>
      </c>
      <c r="AI72" s="131">
        <f t="shared" si="22"/>
        <v>-0.49109093580094565</v>
      </c>
      <c r="AJ72" s="131">
        <f t="shared" si="23"/>
        <v>13.631248651949109</v>
      </c>
    </row>
    <row r="73" spans="4:36">
      <c r="D73" s="144" t="s">
        <v>300</v>
      </c>
      <c r="E73" s="107">
        <v>5.9670962400000001</v>
      </c>
      <c r="F73" s="144">
        <v>3.37</v>
      </c>
      <c r="G73" s="17"/>
      <c r="H73" s="107">
        <v>62.813041200000008</v>
      </c>
      <c r="I73" s="107">
        <v>22.102374315000002</v>
      </c>
      <c r="J73" s="131">
        <f t="shared" si="6"/>
        <v>62.813041200000008</v>
      </c>
      <c r="K73" s="131">
        <f t="shared" si="7"/>
        <v>22.102374315000002</v>
      </c>
      <c r="L73" s="17"/>
      <c r="M73" s="17"/>
      <c r="N73" s="148">
        <f t="shared" si="8"/>
        <v>2.4148355269729862</v>
      </c>
      <c r="O73" s="148">
        <f t="shared" si="60"/>
        <v>0.41410687760317461</v>
      </c>
      <c r="P73" s="149">
        <v>0</v>
      </c>
      <c r="Q73" s="131">
        <f t="shared" si="10"/>
        <v>0</v>
      </c>
      <c r="R73" s="131">
        <f t="shared" si="61"/>
        <v>9.1527452152012554</v>
      </c>
      <c r="S73" s="131">
        <f t="shared" si="12"/>
        <v>-1.8376134258333181</v>
      </c>
      <c r="T73" s="131">
        <f t="shared" si="13"/>
        <v>-16.02551664873889</v>
      </c>
      <c r="U73" s="17">
        <f t="shared" si="14"/>
        <v>0</v>
      </c>
      <c r="V73" s="131">
        <f t="shared" si="15"/>
        <v>2350.5822507469907</v>
      </c>
      <c r="W73" s="158">
        <f t="shared" si="0"/>
        <v>-5.4773460716110991E-3</v>
      </c>
      <c r="X73" s="150">
        <f t="shared" si="1"/>
        <v>0</v>
      </c>
      <c r="Y73" s="150">
        <f t="shared" si="16"/>
        <v>-1.0954692143222198</v>
      </c>
      <c r="Z73" s="150">
        <f t="shared" si="17"/>
        <v>0</v>
      </c>
      <c r="AA73" s="17">
        <f t="shared" si="2"/>
        <v>0</v>
      </c>
      <c r="AB73" s="17">
        <f t="shared" si="3"/>
        <v>0.10563451170190592</v>
      </c>
      <c r="AC73" s="17">
        <f t="shared" si="18"/>
        <v>0</v>
      </c>
      <c r="AD73" s="17">
        <f t="shared" si="19"/>
        <v>21.126902340381186</v>
      </c>
      <c r="AE73" s="150">
        <f t="shared" si="4"/>
        <v>-1.4587988253079629E-3</v>
      </c>
      <c r="AF73" s="151">
        <f t="shared" si="5"/>
        <v>0</v>
      </c>
      <c r="AG73" s="150">
        <f t="shared" si="20"/>
        <v>-0.29175976506159257</v>
      </c>
      <c r="AH73" s="150">
        <f t="shared" si="21"/>
        <v>0</v>
      </c>
      <c r="AI73" s="131">
        <f t="shared" si="22"/>
        <v>-1.3872289793838124</v>
      </c>
      <c r="AJ73" s="131">
        <f t="shared" si="23"/>
        <v>21.126902340381186</v>
      </c>
    </row>
    <row r="74" spans="4:36">
      <c r="D74" s="144" t="s">
        <v>266</v>
      </c>
      <c r="E74" s="107">
        <v>3.9056872050000013</v>
      </c>
      <c r="F74" s="144">
        <v>3.37</v>
      </c>
      <c r="G74" s="17"/>
      <c r="H74" s="107">
        <v>65.475852750000001</v>
      </c>
      <c r="I74" s="107">
        <v>15.115217670000002</v>
      </c>
      <c r="J74" s="131">
        <f t="shared" si="6"/>
        <v>65.475852750000001</v>
      </c>
      <c r="K74" s="131">
        <f t="shared" si="7"/>
        <v>15.115217670000002</v>
      </c>
      <c r="L74" s="17"/>
      <c r="M74" s="17"/>
      <c r="N74" s="148">
        <f t="shared" si="8"/>
        <v>5.1580843885874277</v>
      </c>
      <c r="O74" s="148">
        <f t="shared" si="60"/>
        <v>0.19387042255697876</v>
      </c>
      <c r="P74" s="149">
        <v>0</v>
      </c>
      <c r="Q74" s="131">
        <f t="shared" si="10"/>
        <v>0</v>
      </c>
      <c r="R74" s="131">
        <f t="shared" si="61"/>
        <v>2.9303936367236121</v>
      </c>
      <c r="S74" s="131">
        <f t="shared" si="12"/>
        <v>0.82519812416667548</v>
      </c>
      <c r="T74" s="131">
        <f t="shared" si="13"/>
        <v>-23.012673293738892</v>
      </c>
      <c r="U74" s="17">
        <f t="shared" si="14"/>
        <v>0</v>
      </c>
      <c r="V74" s="131">
        <f t="shared" si="15"/>
        <v>1551.8870404933941</v>
      </c>
      <c r="W74" s="158">
        <f t="shared" si="0"/>
        <v>-3.6823437447297599E-3</v>
      </c>
      <c r="X74" s="150">
        <f t="shared" si="1"/>
        <v>0</v>
      </c>
      <c r="Y74" s="150">
        <f t="shared" si="16"/>
        <v>-0.73646874894595193</v>
      </c>
      <c r="Z74" s="150">
        <f t="shared" si="17"/>
        <v>0</v>
      </c>
      <c r="AA74" s="17">
        <f t="shared" si="2"/>
        <v>0</v>
      </c>
      <c r="AB74" s="17">
        <f t="shared" si="3"/>
        <v>4.9454400609770556E-2</v>
      </c>
      <c r="AC74" s="17">
        <f t="shared" si="18"/>
        <v>0</v>
      </c>
      <c r="AD74" s="17">
        <f t="shared" si="19"/>
        <v>9.8908801219541118</v>
      </c>
      <c r="AE74" s="150">
        <f t="shared" si="4"/>
        <v>-9.8073020381782153E-4</v>
      </c>
      <c r="AF74" s="151">
        <f t="shared" si="5"/>
        <v>0</v>
      </c>
      <c r="AG74" s="150">
        <f t="shared" si="20"/>
        <v>-0.19614604076356432</v>
      </c>
      <c r="AH74" s="150">
        <f t="shared" si="21"/>
        <v>0</v>
      </c>
      <c r="AI74" s="131">
        <f t="shared" si="22"/>
        <v>-0.93261478970951628</v>
      </c>
      <c r="AJ74" s="131">
        <f t="shared" si="23"/>
        <v>9.8908801219541118</v>
      </c>
    </row>
    <row r="75" spans="4:36">
      <c r="D75" s="144" t="s">
        <v>267</v>
      </c>
      <c r="E75" s="107">
        <v>2.4770960549999987</v>
      </c>
      <c r="F75" s="144">
        <v>3.37</v>
      </c>
      <c r="G75" s="17"/>
      <c r="H75" s="107">
        <v>62.813041200000008</v>
      </c>
      <c r="I75" s="107">
        <v>13.038326700000002</v>
      </c>
      <c r="J75" s="131">
        <f t="shared" ref="J75:J84" si="62">H75-$J$19</f>
        <v>62.813041200000008</v>
      </c>
      <c r="K75" s="131">
        <f t="shared" ref="K75:K84" si="63">I75-$J$20</f>
        <v>13.038326700000002</v>
      </c>
      <c r="L75" s="17"/>
      <c r="M75" s="17"/>
      <c r="N75" s="148">
        <f t="shared" ref="N75:N84" si="64">4*(F75/E75)^3+3*(F75/E75)</f>
        <v>14.15351801182792</v>
      </c>
      <c r="O75" s="148">
        <f t="shared" ref="O75:O84" si="65">1/N75</f>
        <v>7.06538119472708E-2</v>
      </c>
      <c r="P75" s="149">
        <v>0</v>
      </c>
      <c r="Q75" s="131">
        <f t="shared" ref="Q75:Q84" si="66">P75*J75</f>
        <v>0</v>
      </c>
      <c r="R75" s="131">
        <f t="shared" ref="R75:R84" si="67">O75*K75</f>
        <v>0.92120748276888009</v>
      </c>
      <c r="S75" s="131">
        <f t="shared" ref="S75:S84" si="68">J75-$J$34</f>
        <v>-1.8376134258333181</v>
      </c>
      <c r="T75" s="131">
        <f t="shared" ref="T75:T84" si="69">K75-$J$35</f>
        <v>-25.08956426373889</v>
      </c>
      <c r="U75" s="17">
        <f t="shared" ref="U75:U84" si="70">P75*S75^2</f>
        <v>0</v>
      </c>
      <c r="V75" s="131">
        <f t="shared" ref="V75:V84" si="71">R75*T75^2</f>
        <v>579.88742993068331</v>
      </c>
      <c r="W75" s="158">
        <f t="shared" si="0"/>
        <v>-1.4631013645884773E-3</v>
      </c>
      <c r="X75" s="150">
        <f t="shared" si="1"/>
        <v>0</v>
      </c>
      <c r="Y75" s="150">
        <f t="shared" ref="Y75:Y84" si="72">$J$28*W75</f>
        <v>-0.29262027291769549</v>
      </c>
      <c r="Z75" s="150">
        <f t="shared" ref="Z75:Z84" si="73">$J$29*X75</f>
        <v>0</v>
      </c>
      <c r="AA75" s="17">
        <f t="shared" si="2"/>
        <v>0</v>
      </c>
      <c r="AB75" s="17">
        <f t="shared" si="3"/>
        <v>1.8023078892401911E-2</v>
      </c>
      <c r="AC75" s="17">
        <f t="shared" ref="AC75:AC84" si="74">AA75*$J$28</f>
        <v>0</v>
      </c>
      <c r="AD75" s="17">
        <f t="shared" ref="AD75:AD84" si="75">AB75*$J$29</f>
        <v>3.6046157784803823</v>
      </c>
      <c r="AE75" s="150">
        <f t="shared" si="4"/>
        <v>-3.8967239317422704E-4</v>
      </c>
      <c r="AF75" s="151">
        <f t="shared" si="5"/>
        <v>0</v>
      </c>
      <c r="AG75" s="150">
        <f t="shared" ref="AG75:AG84" si="76">$J$29*AE75</f>
        <v>-7.7934478634845414E-2</v>
      </c>
      <c r="AH75" s="150">
        <f t="shared" ref="AH75:AH84" si="77">$J$28*AF75</f>
        <v>0</v>
      </c>
      <c r="AI75" s="131">
        <f t="shared" ref="AI75:AI84" si="78">Y75+AC75+AG75</f>
        <v>-0.37055475155254092</v>
      </c>
      <c r="AJ75" s="131">
        <f t="shared" ref="AJ75:AJ84" si="79">Z75+AD75+AH75</f>
        <v>3.6046157784803823</v>
      </c>
    </row>
    <row r="76" spans="4:36">
      <c r="D76" s="144" t="s">
        <v>270</v>
      </c>
      <c r="E76" s="107">
        <v>2.4770960549999987</v>
      </c>
      <c r="F76" s="144">
        <v>3.37</v>
      </c>
      <c r="G76" s="17"/>
      <c r="H76" s="107">
        <v>62.813041200000008</v>
      </c>
      <c r="I76" s="107">
        <v>13.038326700000002</v>
      </c>
      <c r="J76" s="131">
        <f t="shared" si="62"/>
        <v>62.813041200000008</v>
      </c>
      <c r="K76" s="131">
        <f t="shared" si="63"/>
        <v>13.038326700000002</v>
      </c>
      <c r="L76" s="17"/>
      <c r="M76" s="17"/>
      <c r="N76" s="148">
        <f t="shared" si="64"/>
        <v>14.15351801182792</v>
      </c>
      <c r="O76" s="148">
        <f t="shared" si="65"/>
        <v>7.06538119472708E-2</v>
      </c>
      <c r="P76" s="149">
        <v>0</v>
      </c>
      <c r="Q76" s="131">
        <f t="shared" si="66"/>
        <v>0</v>
      </c>
      <c r="R76" s="131">
        <f t="shared" si="67"/>
        <v>0.92120748276888009</v>
      </c>
      <c r="S76" s="131">
        <f t="shared" si="68"/>
        <v>-1.8376134258333181</v>
      </c>
      <c r="T76" s="131">
        <f t="shared" si="69"/>
        <v>-25.08956426373889</v>
      </c>
      <c r="U76" s="17">
        <f t="shared" si="70"/>
        <v>0</v>
      </c>
      <c r="V76" s="131">
        <f t="shared" si="71"/>
        <v>579.88742993068331</v>
      </c>
      <c r="W76" s="158">
        <f t="shared" si="0"/>
        <v>-1.4631013645884773E-3</v>
      </c>
      <c r="X76" s="150">
        <f t="shared" si="1"/>
        <v>0</v>
      </c>
      <c r="Y76" s="150">
        <f t="shared" si="72"/>
        <v>-0.29262027291769549</v>
      </c>
      <c r="Z76" s="150">
        <f t="shared" si="73"/>
        <v>0</v>
      </c>
      <c r="AA76" s="17">
        <f t="shared" si="2"/>
        <v>0</v>
      </c>
      <c r="AB76" s="17">
        <f t="shared" si="3"/>
        <v>1.8023078892401911E-2</v>
      </c>
      <c r="AC76" s="17">
        <f t="shared" si="74"/>
        <v>0</v>
      </c>
      <c r="AD76" s="17">
        <f t="shared" si="75"/>
        <v>3.6046157784803823</v>
      </c>
      <c r="AE76" s="150">
        <f t="shared" si="4"/>
        <v>-3.8967239317422704E-4</v>
      </c>
      <c r="AF76" s="151">
        <f t="shared" si="5"/>
        <v>0</v>
      </c>
      <c r="AG76" s="150">
        <f t="shared" si="76"/>
        <v>-7.7934478634845414E-2</v>
      </c>
      <c r="AH76" s="150">
        <f t="shared" si="77"/>
        <v>0</v>
      </c>
      <c r="AI76" s="131">
        <f t="shared" si="78"/>
        <v>-0.37055475155254092</v>
      </c>
      <c r="AJ76" s="131">
        <f t="shared" si="79"/>
        <v>3.6046157784803823</v>
      </c>
    </row>
    <row r="77" spans="4:36">
      <c r="D77" s="144" t="s">
        <v>273</v>
      </c>
      <c r="E77" s="107">
        <v>2.4770960549999987</v>
      </c>
      <c r="F77" s="144">
        <v>3.37</v>
      </c>
      <c r="G77" s="17"/>
      <c r="H77" s="107">
        <v>62.813041200000008</v>
      </c>
      <c r="I77" s="107">
        <v>13.038326700000002</v>
      </c>
      <c r="J77" s="131">
        <f t="shared" si="62"/>
        <v>62.813041200000008</v>
      </c>
      <c r="K77" s="131">
        <f t="shared" si="63"/>
        <v>13.038326700000002</v>
      </c>
      <c r="L77" s="17"/>
      <c r="M77" s="17"/>
      <c r="N77" s="148">
        <f t="shared" si="64"/>
        <v>14.15351801182792</v>
      </c>
      <c r="O77" s="148">
        <f t="shared" si="65"/>
        <v>7.06538119472708E-2</v>
      </c>
      <c r="P77" s="149">
        <v>0</v>
      </c>
      <c r="Q77" s="131">
        <f t="shared" si="66"/>
        <v>0</v>
      </c>
      <c r="R77" s="131">
        <f t="shared" si="67"/>
        <v>0.92120748276888009</v>
      </c>
      <c r="S77" s="131">
        <f t="shared" si="68"/>
        <v>-1.8376134258333181</v>
      </c>
      <c r="T77" s="131">
        <f t="shared" si="69"/>
        <v>-25.08956426373889</v>
      </c>
      <c r="U77" s="17">
        <f t="shared" si="70"/>
        <v>0</v>
      </c>
      <c r="V77" s="131">
        <f t="shared" si="71"/>
        <v>579.88742993068331</v>
      </c>
      <c r="W77" s="158">
        <f t="shared" si="0"/>
        <v>-1.4631013645884773E-3</v>
      </c>
      <c r="X77" s="150">
        <f t="shared" si="1"/>
        <v>0</v>
      </c>
      <c r="Y77" s="150">
        <f t="shared" si="72"/>
        <v>-0.29262027291769549</v>
      </c>
      <c r="Z77" s="150">
        <f t="shared" si="73"/>
        <v>0</v>
      </c>
      <c r="AA77" s="17">
        <f t="shared" si="2"/>
        <v>0</v>
      </c>
      <c r="AB77" s="17">
        <f t="shared" si="3"/>
        <v>1.8023078892401911E-2</v>
      </c>
      <c r="AC77" s="17">
        <f t="shared" si="74"/>
        <v>0</v>
      </c>
      <c r="AD77" s="17">
        <f t="shared" si="75"/>
        <v>3.6046157784803823</v>
      </c>
      <c r="AE77" s="150">
        <f t="shared" si="4"/>
        <v>-3.8967239317422704E-4</v>
      </c>
      <c r="AF77" s="151">
        <f t="shared" si="5"/>
        <v>0</v>
      </c>
      <c r="AG77" s="150">
        <f t="shared" si="76"/>
        <v>-7.7934478634845414E-2</v>
      </c>
      <c r="AH77" s="150">
        <f t="shared" si="77"/>
        <v>0</v>
      </c>
      <c r="AI77" s="131">
        <f t="shared" si="78"/>
        <v>-0.37055475155254092</v>
      </c>
      <c r="AJ77" s="131">
        <f t="shared" si="79"/>
        <v>3.6046157784803823</v>
      </c>
    </row>
    <row r="78" spans="4:36">
      <c r="D78" s="144" t="s">
        <v>274</v>
      </c>
      <c r="E78" s="107">
        <v>2.4770960549999987</v>
      </c>
      <c r="F78" s="144">
        <v>3.37</v>
      </c>
      <c r="G78" s="17"/>
      <c r="H78" s="107">
        <v>62.813041200000008</v>
      </c>
      <c r="I78" s="107">
        <v>13.038326700000002</v>
      </c>
      <c r="J78" s="131">
        <f t="shared" si="62"/>
        <v>62.813041200000008</v>
      </c>
      <c r="K78" s="131">
        <f t="shared" si="63"/>
        <v>13.038326700000002</v>
      </c>
      <c r="L78" s="17"/>
      <c r="M78" s="17"/>
      <c r="N78" s="148">
        <f t="shared" si="64"/>
        <v>14.15351801182792</v>
      </c>
      <c r="O78" s="148">
        <f t="shared" si="65"/>
        <v>7.06538119472708E-2</v>
      </c>
      <c r="P78" s="149">
        <v>0</v>
      </c>
      <c r="Q78" s="131">
        <f t="shared" si="66"/>
        <v>0</v>
      </c>
      <c r="R78" s="131">
        <f t="shared" si="67"/>
        <v>0.92120748276888009</v>
      </c>
      <c r="S78" s="131">
        <f t="shared" si="68"/>
        <v>-1.8376134258333181</v>
      </c>
      <c r="T78" s="131">
        <f t="shared" si="69"/>
        <v>-25.08956426373889</v>
      </c>
      <c r="U78" s="17">
        <f t="shared" si="70"/>
        <v>0</v>
      </c>
      <c r="V78" s="131">
        <f t="shared" si="71"/>
        <v>579.88742993068331</v>
      </c>
      <c r="W78" s="158">
        <f t="shared" si="0"/>
        <v>-1.4631013645884773E-3</v>
      </c>
      <c r="X78" s="150">
        <f t="shared" si="1"/>
        <v>0</v>
      </c>
      <c r="Y78" s="150">
        <f t="shared" si="72"/>
        <v>-0.29262027291769549</v>
      </c>
      <c r="Z78" s="150">
        <f t="shared" si="73"/>
        <v>0</v>
      </c>
      <c r="AA78" s="17">
        <f t="shared" si="2"/>
        <v>0</v>
      </c>
      <c r="AB78" s="17">
        <f t="shared" si="3"/>
        <v>1.8023078892401911E-2</v>
      </c>
      <c r="AC78" s="17">
        <f t="shared" si="74"/>
        <v>0</v>
      </c>
      <c r="AD78" s="17">
        <f t="shared" si="75"/>
        <v>3.6046157784803823</v>
      </c>
      <c r="AE78" s="150">
        <f t="shared" si="4"/>
        <v>-3.8967239317422704E-4</v>
      </c>
      <c r="AF78" s="151">
        <f t="shared" si="5"/>
        <v>0</v>
      </c>
      <c r="AG78" s="150">
        <f t="shared" si="76"/>
        <v>-7.7934478634845414E-2</v>
      </c>
      <c r="AH78" s="150">
        <f t="shared" si="77"/>
        <v>0</v>
      </c>
      <c r="AI78" s="131">
        <f t="shared" si="78"/>
        <v>-0.37055475155254092</v>
      </c>
      <c r="AJ78" s="131">
        <f t="shared" si="79"/>
        <v>3.6046157784803823</v>
      </c>
    </row>
    <row r="79" spans="4:36">
      <c r="D79" s="144" t="s">
        <v>277</v>
      </c>
      <c r="E79" s="107">
        <v>2.4770960549999987</v>
      </c>
      <c r="F79" s="144">
        <v>3.37</v>
      </c>
      <c r="G79" s="17"/>
      <c r="H79" s="107">
        <v>62.813041200000008</v>
      </c>
      <c r="I79" s="107">
        <v>13.038326700000002</v>
      </c>
      <c r="J79" s="131">
        <f t="shared" si="62"/>
        <v>62.813041200000008</v>
      </c>
      <c r="K79" s="131">
        <f t="shared" si="63"/>
        <v>13.038326700000002</v>
      </c>
      <c r="L79" s="17"/>
      <c r="M79" s="17"/>
      <c r="N79" s="148">
        <f t="shared" si="64"/>
        <v>14.15351801182792</v>
      </c>
      <c r="O79" s="148">
        <f t="shared" si="65"/>
        <v>7.06538119472708E-2</v>
      </c>
      <c r="P79" s="149">
        <v>0</v>
      </c>
      <c r="Q79" s="131">
        <f t="shared" si="66"/>
        <v>0</v>
      </c>
      <c r="R79" s="131">
        <f t="shared" si="67"/>
        <v>0.92120748276888009</v>
      </c>
      <c r="S79" s="131">
        <f t="shared" si="68"/>
        <v>-1.8376134258333181</v>
      </c>
      <c r="T79" s="131">
        <f t="shared" si="69"/>
        <v>-25.08956426373889</v>
      </c>
      <c r="U79" s="17">
        <f t="shared" si="70"/>
        <v>0</v>
      </c>
      <c r="V79" s="131">
        <f t="shared" si="71"/>
        <v>579.88742993068331</v>
      </c>
      <c r="W79" s="158">
        <f t="shared" si="0"/>
        <v>-1.4631013645884773E-3</v>
      </c>
      <c r="X79" s="150">
        <f t="shared" si="1"/>
        <v>0</v>
      </c>
      <c r="Y79" s="150">
        <f t="shared" si="72"/>
        <v>-0.29262027291769549</v>
      </c>
      <c r="Z79" s="150">
        <f t="shared" si="73"/>
        <v>0</v>
      </c>
      <c r="AA79" s="17">
        <f t="shared" si="2"/>
        <v>0</v>
      </c>
      <c r="AB79" s="17">
        <f t="shared" si="3"/>
        <v>1.8023078892401911E-2</v>
      </c>
      <c r="AC79" s="17">
        <f t="shared" si="74"/>
        <v>0</v>
      </c>
      <c r="AD79" s="17">
        <f t="shared" si="75"/>
        <v>3.6046157784803823</v>
      </c>
      <c r="AE79" s="150">
        <f t="shared" si="4"/>
        <v>-3.8967239317422704E-4</v>
      </c>
      <c r="AF79" s="151">
        <f t="shared" si="5"/>
        <v>0</v>
      </c>
      <c r="AG79" s="150">
        <f t="shared" si="76"/>
        <v>-7.7934478634845414E-2</v>
      </c>
      <c r="AH79" s="150">
        <f t="shared" si="77"/>
        <v>0</v>
      </c>
      <c r="AI79" s="131">
        <f t="shared" si="78"/>
        <v>-0.37055475155254092</v>
      </c>
      <c r="AJ79" s="131">
        <f t="shared" si="79"/>
        <v>3.6046157784803823</v>
      </c>
    </row>
    <row r="80" spans="4:36">
      <c r="D80" s="144" t="s">
        <v>280</v>
      </c>
      <c r="E80" s="107">
        <v>2.4770960549999987</v>
      </c>
      <c r="F80" s="144">
        <v>3.37</v>
      </c>
      <c r="G80" s="17"/>
      <c r="H80" s="107">
        <v>62.813041200000008</v>
      </c>
      <c r="I80" s="107">
        <v>13.038326700000002</v>
      </c>
      <c r="J80" s="131">
        <f t="shared" si="62"/>
        <v>62.813041200000008</v>
      </c>
      <c r="K80" s="131">
        <f t="shared" si="63"/>
        <v>13.038326700000002</v>
      </c>
      <c r="L80" s="17"/>
      <c r="M80" s="17"/>
      <c r="N80" s="148">
        <f t="shared" si="64"/>
        <v>14.15351801182792</v>
      </c>
      <c r="O80" s="148">
        <f t="shared" si="65"/>
        <v>7.06538119472708E-2</v>
      </c>
      <c r="P80" s="149">
        <v>0</v>
      </c>
      <c r="Q80" s="131">
        <f t="shared" si="66"/>
        <v>0</v>
      </c>
      <c r="R80" s="131">
        <f t="shared" si="67"/>
        <v>0.92120748276888009</v>
      </c>
      <c r="S80" s="131">
        <f t="shared" si="68"/>
        <v>-1.8376134258333181</v>
      </c>
      <c r="T80" s="131">
        <f t="shared" si="69"/>
        <v>-25.08956426373889</v>
      </c>
      <c r="U80" s="17">
        <f t="shared" si="70"/>
        <v>0</v>
      </c>
      <c r="V80" s="131">
        <f t="shared" si="71"/>
        <v>579.88742993068331</v>
      </c>
      <c r="W80" s="158">
        <f t="shared" si="0"/>
        <v>-1.4631013645884773E-3</v>
      </c>
      <c r="X80" s="150">
        <f t="shared" si="1"/>
        <v>0</v>
      </c>
      <c r="Y80" s="150">
        <f t="shared" si="72"/>
        <v>-0.29262027291769549</v>
      </c>
      <c r="Z80" s="150">
        <f t="shared" si="73"/>
        <v>0</v>
      </c>
      <c r="AA80" s="17">
        <f t="shared" si="2"/>
        <v>0</v>
      </c>
      <c r="AB80" s="17">
        <f t="shared" si="3"/>
        <v>1.8023078892401911E-2</v>
      </c>
      <c r="AC80" s="17">
        <f t="shared" si="74"/>
        <v>0</v>
      </c>
      <c r="AD80" s="17">
        <f t="shared" si="75"/>
        <v>3.6046157784803823</v>
      </c>
      <c r="AE80" s="150">
        <f t="shared" si="4"/>
        <v>-3.8967239317422704E-4</v>
      </c>
      <c r="AF80" s="151">
        <f t="shared" si="5"/>
        <v>0</v>
      </c>
      <c r="AG80" s="150">
        <f t="shared" si="76"/>
        <v>-7.7934478634845414E-2</v>
      </c>
      <c r="AH80" s="150">
        <f t="shared" si="77"/>
        <v>0</v>
      </c>
      <c r="AI80" s="131">
        <f t="shared" si="78"/>
        <v>-0.37055475155254092</v>
      </c>
      <c r="AJ80" s="131">
        <f t="shared" si="79"/>
        <v>3.6046157784803823</v>
      </c>
    </row>
    <row r="81" spans="4:36">
      <c r="D81" s="144" t="s">
        <v>281</v>
      </c>
      <c r="E81" s="107">
        <v>2.4770960549999987</v>
      </c>
      <c r="F81" s="144">
        <v>3.37</v>
      </c>
      <c r="G81" s="17"/>
      <c r="H81" s="107">
        <v>62.813041200000008</v>
      </c>
      <c r="I81" s="107">
        <v>13.038326700000002</v>
      </c>
      <c r="J81" s="131">
        <f t="shared" si="62"/>
        <v>62.813041200000008</v>
      </c>
      <c r="K81" s="131">
        <f t="shared" si="63"/>
        <v>13.038326700000002</v>
      </c>
      <c r="L81" s="17"/>
      <c r="M81" s="17"/>
      <c r="N81" s="148">
        <f t="shared" si="64"/>
        <v>14.15351801182792</v>
      </c>
      <c r="O81" s="148">
        <f t="shared" si="65"/>
        <v>7.06538119472708E-2</v>
      </c>
      <c r="P81" s="149">
        <v>0</v>
      </c>
      <c r="Q81" s="131">
        <f t="shared" si="66"/>
        <v>0</v>
      </c>
      <c r="R81" s="131">
        <f t="shared" si="67"/>
        <v>0.92120748276888009</v>
      </c>
      <c r="S81" s="131">
        <f t="shared" si="68"/>
        <v>-1.8376134258333181</v>
      </c>
      <c r="T81" s="131">
        <f t="shared" si="69"/>
        <v>-25.08956426373889</v>
      </c>
      <c r="U81" s="17">
        <f t="shared" si="70"/>
        <v>0</v>
      </c>
      <c r="V81" s="131">
        <f t="shared" si="71"/>
        <v>579.88742993068331</v>
      </c>
      <c r="W81" s="158">
        <f t="shared" si="0"/>
        <v>-1.4631013645884773E-3</v>
      </c>
      <c r="X81" s="150">
        <f t="shared" si="1"/>
        <v>0</v>
      </c>
      <c r="Y81" s="150">
        <f t="shared" si="72"/>
        <v>-0.29262027291769549</v>
      </c>
      <c r="Z81" s="150">
        <f t="shared" si="73"/>
        <v>0</v>
      </c>
      <c r="AA81" s="17">
        <f t="shared" si="2"/>
        <v>0</v>
      </c>
      <c r="AB81" s="17">
        <f t="shared" si="3"/>
        <v>1.8023078892401911E-2</v>
      </c>
      <c r="AC81" s="17">
        <f t="shared" si="74"/>
        <v>0</v>
      </c>
      <c r="AD81" s="17">
        <f t="shared" si="75"/>
        <v>3.6046157784803823</v>
      </c>
      <c r="AE81" s="150">
        <f t="shared" si="4"/>
        <v>-3.8967239317422704E-4</v>
      </c>
      <c r="AF81" s="151">
        <f t="shared" si="5"/>
        <v>0</v>
      </c>
      <c r="AG81" s="150">
        <f t="shared" si="76"/>
        <v>-7.7934478634845414E-2</v>
      </c>
      <c r="AH81" s="150">
        <f t="shared" si="77"/>
        <v>0</v>
      </c>
      <c r="AI81" s="131">
        <f t="shared" si="78"/>
        <v>-0.37055475155254092</v>
      </c>
      <c r="AJ81" s="131">
        <f t="shared" si="79"/>
        <v>3.6046157784803823</v>
      </c>
    </row>
    <row r="82" spans="4:36">
      <c r="D82" s="144" t="s">
        <v>282</v>
      </c>
      <c r="E82" s="107">
        <v>2.4770960549999987</v>
      </c>
      <c r="F82" s="144">
        <v>3.37</v>
      </c>
      <c r="G82" s="17"/>
      <c r="H82" s="107">
        <v>62.813041200000008</v>
      </c>
      <c r="I82" s="107">
        <v>13.038326700000002</v>
      </c>
      <c r="J82" s="131">
        <f t="shared" si="62"/>
        <v>62.813041200000008</v>
      </c>
      <c r="K82" s="131">
        <f t="shared" si="63"/>
        <v>13.038326700000002</v>
      </c>
      <c r="L82" s="17"/>
      <c r="M82" s="17"/>
      <c r="N82" s="148">
        <f t="shared" si="64"/>
        <v>14.15351801182792</v>
      </c>
      <c r="O82" s="148">
        <f t="shared" si="65"/>
        <v>7.06538119472708E-2</v>
      </c>
      <c r="P82" s="149">
        <v>0</v>
      </c>
      <c r="Q82" s="131">
        <f t="shared" si="66"/>
        <v>0</v>
      </c>
      <c r="R82" s="131">
        <f t="shared" si="67"/>
        <v>0.92120748276888009</v>
      </c>
      <c r="S82" s="131">
        <f t="shared" si="68"/>
        <v>-1.8376134258333181</v>
      </c>
      <c r="T82" s="131">
        <f t="shared" si="69"/>
        <v>-25.08956426373889</v>
      </c>
      <c r="U82" s="17">
        <f t="shared" si="70"/>
        <v>0</v>
      </c>
      <c r="V82" s="131">
        <f t="shared" si="71"/>
        <v>579.88742993068331</v>
      </c>
      <c r="W82" s="158">
        <f t="shared" si="0"/>
        <v>-1.4631013645884773E-3</v>
      </c>
      <c r="X82" s="150">
        <f t="shared" si="1"/>
        <v>0</v>
      </c>
      <c r="Y82" s="150">
        <f t="shared" si="72"/>
        <v>-0.29262027291769549</v>
      </c>
      <c r="Z82" s="150">
        <f t="shared" si="73"/>
        <v>0</v>
      </c>
      <c r="AA82" s="17">
        <f t="shared" si="2"/>
        <v>0</v>
      </c>
      <c r="AB82" s="17">
        <f t="shared" si="3"/>
        <v>1.8023078892401911E-2</v>
      </c>
      <c r="AC82" s="17">
        <f t="shared" si="74"/>
        <v>0</v>
      </c>
      <c r="AD82" s="17">
        <f t="shared" si="75"/>
        <v>3.6046157784803823</v>
      </c>
      <c r="AE82" s="150">
        <f t="shared" si="4"/>
        <v>-3.8967239317422704E-4</v>
      </c>
      <c r="AF82" s="151">
        <f t="shared" si="5"/>
        <v>0</v>
      </c>
      <c r="AG82" s="150">
        <f t="shared" si="76"/>
        <v>-7.7934478634845414E-2</v>
      </c>
      <c r="AH82" s="150">
        <f t="shared" si="77"/>
        <v>0</v>
      </c>
      <c r="AI82" s="131">
        <f t="shared" si="78"/>
        <v>-0.37055475155254092</v>
      </c>
      <c r="AJ82" s="131">
        <f t="shared" si="79"/>
        <v>3.6046157784803823</v>
      </c>
    </row>
    <row r="83" spans="4:36">
      <c r="D83" s="144" t="s">
        <v>283</v>
      </c>
      <c r="E83" s="107">
        <v>2.4770960549999987</v>
      </c>
      <c r="F83" s="144">
        <v>3.37</v>
      </c>
      <c r="G83" s="17"/>
      <c r="H83" s="107">
        <v>62.813041200000008</v>
      </c>
      <c r="I83" s="107">
        <v>13.038326700000002</v>
      </c>
      <c r="J83" s="131">
        <f t="shared" si="62"/>
        <v>62.813041200000008</v>
      </c>
      <c r="K83" s="131">
        <f t="shared" si="63"/>
        <v>13.038326700000002</v>
      </c>
      <c r="L83" s="17"/>
      <c r="M83" s="17"/>
      <c r="N83" s="148">
        <f t="shared" si="64"/>
        <v>14.15351801182792</v>
      </c>
      <c r="O83" s="148">
        <f t="shared" si="65"/>
        <v>7.06538119472708E-2</v>
      </c>
      <c r="P83" s="149">
        <v>0</v>
      </c>
      <c r="Q83" s="131">
        <f t="shared" si="66"/>
        <v>0</v>
      </c>
      <c r="R83" s="131">
        <f t="shared" si="67"/>
        <v>0.92120748276888009</v>
      </c>
      <c r="S83" s="131">
        <f t="shared" si="68"/>
        <v>-1.8376134258333181</v>
      </c>
      <c r="T83" s="131">
        <f t="shared" si="69"/>
        <v>-25.08956426373889</v>
      </c>
      <c r="U83" s="17">
        <f t="shared" si="70"/>
        <v>0</v>
      </c>
      <c r="V83" s="131">
        <f t="shared" si="71"/>
        <v>579.88742993068331</v>
      </c>
      <c r="W83" s="158">
        <f t="shared" si="0"/>
        <v>-1.4631013645884773E-3</v>
      </c>
      <c r="X83" s="150">
        <f t="shared" si="1"/>
        <v>0</v>
      </c>
      <c r="Y83" s="150">
        <f t="shared" si="72"/>
        <v>-0.29262027291769549</v>
      </c>
      <c r="Z83" s="150">
        <f t="shared" si="73"/>
        <v>0</v>
      </c>
      <c r="AA83" s="17">
        <f t="shared" si="2"/>
        <v>0</v>
      </c>
      <c r="AB83" s="17">
        <f t="shared" si="3"/>
        <v>1.8023078892401911E-2</v>
      </c>
      <c r="AC83" s="17">
        <f t="shared" si="74"/>
        <v>0</v>
      </c>
      <c r="AD83" s="17">
        <f t="shared" si="75"/>
        <v>3.6046157784803823</v>
      </c>
      <c r="AE83" s="150">
        <f t="shared" si="4"/>
        <v>-3.8967239317422704E-4</v>
      </c>
      <c r="AF83" s="151">
        <f t="shared" si="5"/>
        <v>0</v>
      </c>
      <c r="AG83" s="150">
        <f t="shared" si="76"/>
        <v>-7.7934478634845414E-2</v>
      </c>
      <c r="AH83" s="150">
        <f t="shared" si="77"/>
        <v>0</v>
      </c>
      <c r="AI83" s="131">
        <f t="shared" si="78"/>
        <v>-0.37055475155254092</v>
      </c>
      <c r="AJ83" s="131">
        <f t="shared" si="79"/>
        <v>3.6046157784803823</v>
      </c>
    </row>
    <row r="84" spans="4:36">
      <c r="D84" s="144" t="s">
        <v>284</v>
      </c>
      <c r="E84" s="107">
        <v>2.4770960549999987</v>
      </c>
      <c r="F84" s="144">
        <v>3.37</v>
      </c>
      <c r="G84" s="17"/>
      <c r="H84" s="107">
        <v>62.813041200000008</v>
      </c>
      <c r="I84" s="107">
        <v>13.038326700000002</v>
      </c>
      <c r="J84" s="131">
        <f t="shared" si="62"/>
        <v>62.813041200000008</v>
      </c>
      <c r="K84" s="131">
        <f t="shared" si="63"/>
        <v>13.038326700000002</v>
      </c>
      <c r="L84" s="17"/>
      <c r="M84" s="17"/>
      <c r="N84" s="148">
        <f t="shared" si="64"/>
        <v>14.15351801182792</v>
      </c>
      <c r="O84" s="148">
        <f t="shared" si="65"/>
        <v>7.06538119472708E-2</v>
      </c>
      <c r="P84" s="149">
        <v>0</v>
      </c>
      <c r="Q84" s="131">
        <f t="shared" si="66"/>
        <v>0</v>
      </c>
      <c r="R84" s="131">
        <f t="shared" si="67"/>
        <v>0.92120748276888009</v>
      </c>
      <c r="S84" s="131">
        <f t="shared" si="68"/>
        <v>-1.8376134258333181</v>
      </c>
      <c r="T84" s="131">
        <f t="shared" si="69"/>
        <v>-25.08956426373889</v>
      </c>
      <c r="U84" s="17">
        <f t="shared" si="70"/>
        <v>0</v>
      </c>
      <c r="V84" s="131">
        <f t="shared" si="71"/>
        <v>579.88742993068331</v>
      </c>
      <c r="W84" s="158">
        <f t="shared" si="0"/>
        <v>-1.4631013645884773E-3</v>
      </c>
      <c r="X84" s="150">
        <f t="shared" si="1"/>
        <v>0</v>
      </c>
      <c r="Y84" s="150">
        <f t="shared" si="72"/>
        <v>-0.29262027291769549</v>
      </c>
      <c r="Z84" s="150">
        <f t="shared" si="73"/>
        <v>0</v>
      </c>
      <c r="AA84" s="17">
        <f t="shared" si="2"/>
        <v>0</v>
      </c>
      <c r="AB84" s="17">
        <f t="shared" si="3"/>
        <v>1.8023078892401911E-2</v>
      </c>
      <c r="AC84" s="17">
        <f t="shared" si="74"/>
        <v>0</v>
      </c>
      <c r="AD84" s="17">
        <f t="shared" si="75"/>
        <v>3.6046157784803823</v>
      </c>
      <c r="AE84" s="150">
        <f t="shared" si="4"/>
        <v>-3.8967239317422704E-4</v>
      </c>
      <c r="AF84" s="151">
        <f t="shared" si="5"/>
        <v>0</v>
      </c>
      <c r="AG84" s="150">
        <f t="shared" si="76"/>
        <v>-7.7934478634845414E-2</v>
      </c>
      <c r="AH84" s="150">
        <f t="shared" si="77"/>
        <v>0</v>
      </c>
      <c r="AI84" s="131">
        <f t="shared" si="78"/>
        <v>-0.37055475155254092</v>
      </c>
      <c r="AJ84" s="131">
        <f t="shared" si="79"/>
        <v>3.6046157784803823</v>
      </c>
    </row>
    <row r="85" spans="4:36">
      <c r="D85" s="144" t="s">
        <v>285</v>
      </c>
      <c r="E85" s="107">
        <v>2.4770960549999987</v>
      </c>
      <c r="F85" s="144">
        <v>3.37</v>
      </c>
      <c r="G85" s="17"/>
      <c r="H85" s="107">
        <v>62.813041200000008</v>
      </c>
      <c r="I85" s="107">
        <v>13.038326700000002</v>
      </c>
      <c r="J85" s="131">
        <f t="shared" si="6"/>
        <v>62.813041200000008</v>
      </c>
      <c r="K85" s="131">
        <f t="shared" si="7"/>
        <v>13.038326700000002</v>
      </c>
      <c r="L85" s="17"/>
      <c r="M85" s="17"/>
      <c r="N85" s="148">
        <f t="shared" si="8"/>
        <v>14.15351801182792</v>
      </c>
      <c r="O85" s="148">
        <f t="shared" si="60"/>
        <v>7.06538119472708E-2</v>
      </c>
      <c r="P85" s="149">
        <v>0</v>
      </c>
      <c r="Q85" s="131">
        <f t="shared" si="10"/>
        <v>0</v>
      </c>
      <c r="R85" s="131">
        <f t="shared" si="61"/>
        <v>0.92120748276888009</v>
      </c>
      <c r="S85" s="131">
        <f t="shared" si="12"/>
        <v>-1.8376134258333181</v>
      </c>
      <c r="T85" s="131">
        <f t="shared" si="13"/>
        <v>-25.08956426373889</v>
      </c>
      <c r="U85" s="17">
        <f t="shared" si="14"/>
        <v>0</v>
      </c>
      <c r="V85" s="131">
        <f t="shared" si="15"/>
        <v>579.88742993068331</v>
      </c>
      <c r="W85" s="158">
        <f t="shared" si="0"/>
        <v>-1.4631013645884773E-3</v>
      </c>
      <c r="X85" s="150">
        <f t="shared" si="1"/>
        <v>0</v>
      </c>
      <c r="Y85" s="150">
        <f t="shared" si="16"/>
        <v>-0.29262027291769549</v>
      </c>
      <c r="Z85" s="150">
        <f t="shared" si="17"/>
        <v>0</v>
      </c>
      <c r="AA85" s="17">
        <f t="shared" si="2"/>
        <v>0</v>
      </c>
      <c r="AB85" s="17">
        <f t="shared" si="3"/>
        <v>1.8023078892401911E-2</v>
      </c>
      <c r="AC85" s="17">
        <f t="shared" si="18"/>
        <v>0</v>
      </c>
      <c r="AD85" s="17">
        <f t="shared" si="19"/>
        <v>3.6046157784803823</v>
      </c>
      <c r="AE85" s="150">
        <f t="shared" si="4"/>
        <v>-3.8967239317422704E-4</v>
      </c>
      <c r="AF85" s="151">
        <f t="shared" si="5"/>
        <v>0</v>
      </c>
      <c r="AG85" s="150">
        <f t="shared" si="20"/>
        <v>-7.7934478634845414E-2</v>
      </c>
      <c r="AH85" s="150">
        <f t="shared" si="21"/>
        <v>0</v>
      </c>
      <c r="AI85" s="131">
        <f t="shared" si="22"/>
        <v>-0.37055475155254092</v>
      </c>
      <c r="AJ85" s="131">
        <f t="shared" si="23"/>
        <v>3.6046157784803823</v>
      </c>
    </row>
    <row r="86" spans="4:36">
      <c r="D86" s="144" t="s">
        <v>288</v>
      </c>
      <c r="E86" s="107">
        <v>4.6431176399999998</v>
      </c>
      <c r="F86" s="144">
        <v>3.37</v>
      </c>
      <c r="G86" s="17"/>
      <c r="H86" s="107">
        <v>64.590732149999994</v>
      </c>
      <c r="I86" s="107">
        <v>42.418172160000005</v>
      </c>
      <c r="J86" s="131">
        <f t="shared" si="6"/>
        <v>64.590732149999994</v>
      </c>
      <c r="K86" s="131">
        <f t="shared" si="7"/>
        <v>42.418172160000005</v>
      </c>
      <c r="L86" s="17"/>
      <c r="M86" s="17"/>
      <c r="N86" s="148">
        <f t="shared" si="8"/>
        <v>3.7068146952117038</v>
      </c>
      <c r="O86" s="148">
        <f t="shared" si="60"/>
        <v>0.26977339905654169</v>
      </c>
      <c r="P86" s="149">
        <v>0</v>
      </c>
      <c r="Q86" s="131">
        <f t="shared" si="10"/>
        <v>0</v>
      </c>
      <c r="R86" s="131">
        <f t="shared" si="61"/>
        <v>11.443294485368767</v>
      </c>
      <c r="S86" s="131">
        <f t="shared" si="12"/>
        <v>-5.9922475833332101E-2</v>
      </c>
      <c r="T86" s="131">
        <f t="shared" si="13"/>
        <v>4.2902811962611125</v>
      </c>
      <c r="U86" s="17">
        <f t="shared" si="14"/>
        <v>0</v>
      </c>
      <c r="V86" s="131">
        <f t="shared" si="15"/>
        <v>210.63114576674667</v>
      </c>
      <c r="W86" s="158">
        <f t="shared" si="0"/>
        <v>9.5527976887190816E-4</v>
      </c>
      <c r="X86" s="150">
        <f t="shared" si="1"/>
        <v>0</v>
      </c>
      <c r="Y86" s="150">
        <f t="shared" si="16"/>
        <v>0.19105595377438164</v>
      </c>
      <c r="Z86" s="150">
        <f t="shared" si="17"/>
        <v>0</v>
      </c>
      <c r="AA86" s="17">
        <f t="shared" si="2"/>
        <v>0</v>
      </c>
      <c r="AB86" s="17">
        <f t="shared" si="3"/>
        <v>6.8816488739434356E-2</v>
      </c>
      <c r="AC86" s="17">
        <f t="shared" si="18"/>
        <v>0</v>
      </c>
      <c r="AD86" s="17">
        <f t="shared" si="19"/>
        <v>13.76329774788687</v>
      </c>
      <c r="AE86" s="150">
        <f t="shared" si="4"/>
        <v>2.5442266865217478E-4</v>
      </c>
      <c r="AF86" s="151">
        <f t="shared" si="5"/>
        <v>0</v>
      </c>
      <c r="AG86" s="150">
        <f t="shared" si="20"/>
        <v>5.0884533730434958E-2</v>
      </c>
      <c r="AH86" s="150">
        <f t="shared" si="21"/>
        <v>0</v>
      </c>
      <c r="AI86" s="131">
        <f t="shared" si="22"/>
        <v>0.24194048750481661</v>
      </c>
      <c r="AJ86" s="131">
        <f t="shared" si="23"/>
        <v>13.76329774788687</v>
      </c>
    </row>
    <row r="87" spans="4:36">
      <c r="D87" s="144" t="s">
        <v>289</v>
      </c>
      <c r="E87" s="107">
        <v>6.0409119749999931</v>
      </c>
      <c r="F87" s="144">
        <v>3.37</v>
      </c>
      <c r="G87" s="17"/>
      <c r="H87" s="107">
        <v>64.590732149999994</v>
      </c>
      <c r="I87" s="107">
        <v>35.163501765000007</v>
      </c>
      <c r="J87" s="131">
        <f t="shared" si="6"/>
        <v>64.590732149999994</v>
      </c>
      <c r="K87" s="131">
        <f t="shared" si="7"/>
        <v>35.163501765000007</v>
      </c>
      <c r="L87" s="17"/>
      <c r="M87" s="17"/>
      <c r="N87" s="148">
        <f t="shared" si="8"/>
        <v>2.3680402675032601</v>
      </c>
      <c r="O87" s="148">
        <f t="shared" si="60"/>
        <v>0.42229011631392088</v>
      </c>
      <c r="P87" s="149">
        <v>0</v>
      </c>
      <c r="Q87" s="131">
        <f t="shared" si="10"/>
        <v>0</v>
      </c>
      <c r="R87" s="131">
        <f t="shared" si="61"/>
        <v>14.849199250346615</v>
      </c>
      <c r="S87" s="131">
        <f t="shared" si="12"/>
        <v>-5.9922475833332101E-2</v>
      </c>
      <c r="T87" s="131">
        <f t="shared" si="13"/>
        <v>-2.9643891987388855</v>
      </c>
      <c r="U87" s="17">
        <f t="shared" si="14"/>
        <v>0</v>
      </c>
      <c r="V87" s="131">
        <f t="shared" si="15"/>
        <v>130.48887265544275</v>
      </c>
      <c r="W87" s="158">
        <f t="shared" si="0"/>
        <v>-1.0332177000661712E-3</v>
      </c>
      <c r="X87" s="150">
        <f t="shared" si="1"/>
        <v>0</v>
      </c>
      <c r="Y87" s="150">
        <f t="shared" si="16"/>
        <v>-0.20664354001323423</v>
      </c>
      <c r="Z87" s="150">
        <f t="shared" si="17"/>
        <v>0</v>
      </c>
      <c r="AA87" s="17">
        <f t="shared" si="2"/>
        <v>0</v>
      </c>
      <c r="AB87" s="17">
        <f t="shared" si="3"/>
        <v>0.10772197383330809</v>
      </c>
      <c r="AC87" s="17">
        <f t="shared" si="18"/>
        <v>0</v>
      </c>
      <c r="AD87" s="17">
        <f t="shared" si="19"/>
        <v>21.544394766661618</v>
      </c>
      <c r="AE87" s="150">
        <f t="shared" si="4"/>
        <v>-2.7518012326370732E-4</v>
      </c>
      <c r="AF87" s="151">
        <f t="shared" si="5"/>
        <v>0</v>
      </c>
      <c r="AG87" s="150">
        <f t="shared" si="20"/>
        <v>-5.5036024652741468E-2</v>
      </c>
      <c r="AH87" s="150">
        <f t="shared" si="21"/>
        <v>0</v>
      </c>
      <c r="AI87" s="131">
        <f t="shared" si="22"/>
        <v>-0.26167956466597569</v>
      </c>
      <c r="AJ87" s="131">
        <f t="shared" si="23"/>
        <v>21.544394766661618</v>
      </c>
    </row>
    <row r="88" spans="4:36">
      <c r="D88" s="145" t="s">
        <v>290</v>
      </c>
      <c r="E88" s="146">
        <v>6.0261027749999982</v>
      </c>
      <c r="F88" s="145">
        <v>3.37</v>
      </c>
      <c r="G88" s="147"/>
      <c r="H88" s="146">
        <v>62.811325500000009</v>
      </c>
      <c r="I88" s="146">
        <v>35.178310965000001</v>
      </c>
      <c r="J88" s="133">
        <f t="shared" si="6"/>
        <v>62.811325500000009</v>
      </c>
      <c r="K88" s="133">
        <f t="shared" si="7"/>
        <v>35.178310965000001</v>
      </c>
      <c r="L88" s="147"/>
      <c r="M88" s="147"/>
      <c r="N88" s="152">
        <f t="shared" si="8"/>
        <v>2.3772855826642694</v>
      </c>
      <c r="O88" s="152">
        <f t="shared" si="60"/>
        <v>0.420647820898018</v>
      </c>
      <c r="P88" s="153">
        <v>0</v>
      </c>
      <c r="Q88" s="133">
        <f t="shared" si="10"/>
        <v>0</v>
      </c>
      <c r="R88" s="133">
        <f t="shared" si="61"/>
        <v>14.797679850300103</v>
      </c>
      <c r="S88" s="133">
        <f t="shared" si="12"/>
        <v>-1.8393291258333164</v>
      </c>
      <c r="T88" s="133">
        <f t="shared" si="13"/>
        <v>-2.9495799987388907</v>
      </c>
      <c r="U88" s="147">
        <f t="shared" si="14"/>
        <v>0</v>
      </c>
      <c r="V88" s="133">
        <f t="shared" si="15"/>
        <v>128.74014274679118</v>
      </c>
      <c r="W88" s="159">
        <f t="shared" si="0"/>
        <v>-1.0240579218167697E-3</v>
      </c>
      <c r="X88" s="154">
        <f t="shared" si="1"/>
        <v>0</v>
      </c>
      <c r="Y88" s="154">
        <f t="shared" si="16"/>
        <v>-0.20481158436335395</v>
      </c>
      <c r="Z88" s="154">
        <f t="shared" si="17"/>
        <v>0</v>
      </c>
      <c r="AA88" s="147">
        <f t="shared" si="2"/>
        <v>0</v>
      </c>
      <c r="AB88" s="147">
        <f t="shared" si="3"/>
        <v>0.10730304074208949</v>
      </c>
      <c r="AC88" s="147">
        <f t="shared" si="18"/>
        <v>0</v>
      </c>
      <c r="AD88" s="147">
        <f t="shared" si="19"/>
        <v>21.460608148417897</v>
      </c>
      <c r="AE88" s="154">
        <f t="shared" si="4"/>
        <v>-2.7274057068192608E-4</v>
      </c>
      <c r="AF88" s="155">
        <f t="shared" si="5"/>
        <v>0</v>
      </c>
      <c r="AG88" s="154">
        <f t="shared" si="20"/>
        <v>-5.4548114136385217E-2</v>
      </c>
      <c r="AH88" s="154">
        <f t="shared" si="21"/>
        <v>0</v>
      </c>
      <c r="AI88" s="133">
        <f t="shared" si="22"/>
        <v>-0.25935969849973917</v>
      </c>
      <c r="AJ88" s="133">
        <f t="shared" si="23"/>
        <v>21.460608148417897</v>
      </c>
    </row>
    <row r="89" spans="4:36">
      <c r="D89" s="17"/>
      <c r="E89" s="20"/>
      <c r="F89" s="17"/>
      <c r="I89" s="20"/>
      <c r="J89" s="131">
        <f>SUM(J49:J88)</f>
        <v>2512.7674897500005</v>
      </c>
      <c r="K89" s="131">
        <f>SUM(K49:K88)</f>
        <v>1128.305602095</v>
      </c>
      <c r="L89" s="17"/>
      <c r="M89" s="17"/>
      <c r="N89" s="17"/>
      <c r="O89" s="148">
        <f>SUM(O49:O88)</f>
        <v>3.9201854671488299</v>
      </c>
      <c r="P89" s="148">
        <f>SUM(P49:P88)</f>
        <v>9.1409323633480408</v>
      </c>
      <c r="Q89" s="148">
        <f>SUM(Q49:Q88)</f>
        <v>556.51228925633768</v>
      </c>
      <c r="R89" s="148">
        <f>SUM(R49:R88)</f>
        <v>130.81737558520459</v>
      </c>
      <c r="S89" s="17"/>
      <c r="T89" s="17"/>
      <c r="U89" s="25" t="s">
        <v>373</v>
      </c>
      <c r="V89" s="17">
        <f>SUM(U49:U88)+SUM(V49:V88)</f>
        <v>27567.774164827068</v>
      </c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</row>
    <row r="90" spans="4:36">
      <c r="D90" s="17"/>
      <c r="E90" s="20"/>
      <c r="F90" s="17"/>
      <c r="I90" s="20"/>
      <c r="J90" s="117"/>
      <c r="K90" s="17"/>
    </row>
    <row r="91" spans="4:36">
      <c r="D91" s="17"/>
      <c r="E91" s="20"/>
      <c r="F91" s="17"/>
      <c r="I91" s="20"/>
      <c r="J91" s="117"/>
      <c r="K91" s="17"/>
    </row>
    <row r="92" spans="4:36">
      <c r="D92" s="17"/>
      <c r="E92" s="20"/>
      <c r="F92" s="17"/>
      <c r="I92" s="20"/>
      <c r="J92" s="117"/>
      <c r="K92" s="17"/>
    </row>
    <row r="93" spans="4:36">
      <c r="D93" s="17"/>
      <c r="E93" s="20"/>
      <c r="F93" s="17"/>
      <c r="I93" s="20"/>
      <c r="J93" s="117"/>
      <c r="K93" s="17"/>
    </row>
    <row r="94" spans="4:36">
      <c r="D94" s="17"/>
      <c r="E94" s="20"/>
      <c r="F94" s="17"/>
      <c r="I94" s="20"/>
      <c r="J94" s="117"/>
      <c r="K94" s="17"/>
    </row>
    <row r="95" spans="4:36">
      <c r="D95" s="17"/>
      <c r="E95" s="20"/>
      <c r="F95" s="17"/>
      <c r="I95" s="20"/>
      <c r="J95" s="117"/>
      <c r="K95" s="17"/>
    </row>
    <row r="96" spans="4:36">
      <c r="D96" s="17"/>
      <c r="E96" s="20"/>
      <c r="F96" s="17"/>
      <c r="I96" s="20"/>
      <c r="J96" s="117"/>
      <c r="K96" s="17"/>
    </row>
    <row r="97" spans="4:11">
      <c r="D97" s="17"/>
      <c r="E97" s="20"/>
      <c r="F97" s="17"/>
      <c r="I97" s="20"/>
      <c r="J97" s="117"/>
      <c r="K97" s="17"/>
    </row>
  </sheetData>
  <mergeCells count="15">
    <mergeCell ref="AE47:AH47"/>
    <mergeCell ref="AI47:AJ47"/>
    <mergeCell ref="D47:I47"/>
    <mergeCell ref="J47:M47"/>
    <mergeCell ref="N47:R47"/>
    <mergeCell ref="U47:V47"/>
    <mergeCell ref="W47:Z47"/>
    <mergeCell ref="AA47:AD47"/>
    <mergeCell ref="V36:X36"/>
    <mergeCell ref="Y36:AA36"/>
    <mergeCell ref="I1:N1"/>
    <mergeCell ref="I2:N2"/>
    <mergeCell ref="I3:K3"/>
    <mergeCell ref="M3:N3"/>
    <mergeCell ref="AA33:AD33"/>
  </mergeCells>
  <phoneticPr fontId="3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ExportAllForcesToWallSheets">
                <anchor moveWithCells="1" sizeWithCells="1">
                  <from>
                    <xdr:col>13</xdr:col>
                    <xdr:colOff>19050</xdr:colOff>
                    <xdr:row>10</xdr:row>
                    <xdr:rowOff>76200</xdr:rowOff>
                  </from>
                  <to>
                    <xdr:col>17</xdr:col>
                    <xdr:colOff>123825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5" name="Button 23">
              <controlPr defaultSize="0" print="0" autoFill="0" autoPict="0" macro="[0]!ImportWallStiffnessFromSheets">
                <anchor moveWithCells="1" sizeWithCells="1">
                  <from>
                    <xdr:col>13</xdr:col>
                    <xdr:colOff>0</xdr:colOff>
                    <xdr:row>20</xdr:row>
                    <xdr:rowOff>95250</xdr:rowOff>
                  </from>
                  <to>
                    <xdr:col>17</xdr:col>
                    <xdr:colOff>104775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6" name="Button 25">
              <controlPr defaultSize="0" print="0" autoFill="0" autoPict="0" macro="[0]!CopyAndPasteWallTable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17</xdr:col>
                    <xdr:colOff>104775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7" name="Button 34">
              <controlPr defaultSize="0" print="0" autoFill="0" autoPict="0" macro="[0]!DeleteCopiedWallTable">
                <anchor moveWithCells="1" sizeWithCells="1">
                  <from>
                    <xdr:col>13</xdr:col>
                    <xdr:colOff>0</xdr:colOff>
                    <xdr:row>17</xdr:row>
                    <xdr:rowOff>19050</xdr:rowOff>
                  </from>
                  <to>
                    <xdr:col>17</xdr:col>
                    <xdr:colOff>104775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8" name="Button 35">
              <controlPr defaultSize="0" print="0" autoFill="0" autoPict="0" macro="[0]!ExportAllForcesToWallSheets">
                <anchor moveWithCells="1" sizeWithCells="1">
                  <from>
                    <xdr:col>13</xdr:col>
                    <xdr:colOff>0</xdr:colOff>
                    <xdr:row>27</xdr:row>
                    <xdr:rowOff>47625</xdr:rowOff>
                  </from>
                  <to>
                    <xdr:col>17</xdr:col>
                    <xdr:colOff>104775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9" name="Button 36">
              <controlPr defaultSize="0" print="0" autoFill="0" autoPict="0" macro="[0]!CopyForcesFromNewTableToOriginal">
                <anchor moveWithCells="1" siz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17</xdr:col>
                    <xdr:colOff>104775</xdr:colOff>
                    <xdr:row>25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AEE2B-27E0-4051-BA58-C2A67EC111F2}">
  <sheetPr codeName="Sheet5"/>
  <dimension ref="A1:BE310"/>
  <sheetViews>
    <sheetView showGridLines="0" topLeftCell="A10" workbookViewId="0">
      <selection activeCell="V64" sqref="V64"/>
    </sheetView>
  </sheetViews>
  <sheetFormatPr defaultRowHeight="14.25"/>
  <cols>
    <col min="1" max="3" width="9.140625" style="15"/>
    <col min="4" max="4" width="9.7109375" style="15" customWidth="1"/>
    <col min="5" max="5" width="16" style="15" customWidth="1"/>
    <col min="6" max="6" width="15.42578125" style="15" customWidth="1"/>
    <col min="7" max="7" width="15.85546875" style="15" bestFit="1" customWidth="1"/>
    <col min="8" max="8" width="11.5703125" style="15" customWidth="1"/>
    <col min="9" max="9" width="13.140625" style="15" bestFit="1" customWidth="1"/>
    <col min="10" max="10" width="15.140625" style="15" bestFit="1" customWidth="1"/>
    <col min="11" max="11" width="9.140625" style="15"/>
    <col min="12" max="12" width="13" style="15" customWidth="1"/>
    <col min="13" max="13" width="14" style="15" bestFit="1" customWidth="1"/>
    <col min="14" max="14" width="10.5703125" style="15" bestFit="1" customWidth="1"/>
    <col min="15" max="15" width="13.140625" style="15" bestFit="1" customWidth="1"/>
    <col min="16" max="16" width="15.28515625" style="15" bestFit="1" customWidth="1"/>
    <col min="17" max="20" width="11.85546875" style="15" bestFit="1" customWidth="1"/>
    <col min="21" max="21" width="11" style="15" bestFit="1" customWidth="1"/>
    <col min="22" max="22" width="15" style="15" bestFit="1" customWidth="1"/>
    <col min="23" max="24" width="9.140625" style="15"/>
    <col min="25" max="25" width="10.5703125" style="15" customWidth="1"/>
    <col min="26" max="40" width="9.140625" style="15"/>
    <col min="41" max="41" width="14.5703125" style="15" bestFit="1" customWidth="1"/>
    <col min="42" max="46" width="9.140625" style="15"/>
    <col min="47" max="47" width="17.5703125" style="15" bestFit="1" customWidth="1"/>
    <col min="48" max="16384" width="9.140625" style="15"/>
  </cols>
  <sheetData>
    <row r="1" spans="1:26">
      <c r="A1" s="17"/>
      <c r="B1" s="17"/>
      <c r="C1" s="17"/>
      <c r="D1" s="17"/>
      <c r="E1" s="17"/>
      <c r="F1" s="105"/>
      <c r="G1" s="206" t="s">
        <v>254</v>
      </c>
      <c r="H1" s="253" t="s">
        <v>396</v>
      </c>
      <c r="I1" s="254"/>
      <c r="J1" s="254"/>
      <c r="K1" s="254"/>
      <c r="L1" s="254"/>
      <c r="M1" s="254"/>
      <c r="N1" s="17"/>
    </row>
    <row r="2" spans="1:26">
      <c r="A2" s="17"/>
      <c r="B2" s="17"/>
      <c r="C2" s="17"/>
      <c r="D2" s="17"/>
      <c r="E2" s="17"/>
      <c r="F2" s="105"/>
      <c r="G2" s="206" t="s">
        <v>256</v>
      </c>
      <c r="H2" s="253" t="s">
        <v>397</v>
      </c>
      <c r="I2" s="253"/>
      <c r="J2" s="253"/>
      <c r="K2" s="253"/>
      <c r="L2" s="253"/>
      <c r="M2" s="253"/>
      <c r="N2" s="17"/>
    </row>
    <row r="3" spans="1:26">
      <c r="A3" s="17"/>
      <c r="B3" s="17"/>
      <c r="C3" s="17"/>
      <c r="D3" s="17"/>
      <c r="E3" s="17"/>
      <c r="F3" s="105"/>
      <c r="G3" s="206" t="s">
        <v>258</v>
      </c>
      <c r="H3" s="253" t="s">
        <v>317</v>
      </c>
      <c r="I3" s="253"/>
      <c r="J3" s="253"/>
      <c r="K3" s="106" t="s">
        <v>259</v>
      </c>
      <c r="L3" s="255">
        <f ca="1">NOW()</f>
        <v>45824.664205324072</v>
      </c>
      <c r="M3" s="255"/>
      <c r="N3" s="17"/>
    </row>
    <row r="4" spans="1:26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</row>
    <row r="5" spans="1:26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</row>
    <row r="6" spans="1:26" ht="15">
      <c r="C6" s="19" t="s">
        <v>398</v>
      </c>
      <c r="E6" s="16" t="s">
        <v>116</v>
      </c>
      <c r="F6" s="43">
        <v>6</v>
      </c>
    </row>
    <row r="7" spans="1:26" ht="15">
      <c r="C7" s="19"/>
    </row>
    <row r="8" spans="1:26" ht="7.5" customHeight="1"/>
    <row r="9" spans="1:26" ht="25.5" customHeight="1">
      <c r="C9" s="263" t="s">
        <v>0</v>
      </c>
      <c r="D9" s="263" t="s">
        <v>1</v>
      </c>
      <c r="E9" s="263"/>
      <c r="F9" s="263" t="s">
        <v>2</v>
      </c>
      <c r="G9" s="263"/>
      <c r="H9" s="263" t="s">
        <v>3</v>
      </c>
      <c r="I9" s="263"/>
      <c r="J9" s="263" t="s">
        <v>4</v>
      </c>
      <c r="K9" s="263"/>
      <c r="L9" s="263" t="s">
        <v>5</v>
      </c>
      <c r="M9" s="263"/>
      <c r="N9" s="263" t="s">
        <v>6</v>
      </c>
      <c r="O9" s="263"/>
      <c r="P9" s="263" t="s">
        <v>7</v>
      </c>
      <c r="Q9" s="263"/>
      <c r="R9" s="263" t="s">
        <v>8</v>
      </c>
      <c r="S9" s="263"/>
      <c r="T9" s="38"/>
      <c r="U9" s="38"/>
      <c r="V9" s="38"/>
      <c r="W9" s="38"/>
      <c r="X9" s="38"/>
      <c r="Y9" s="38"/>
      <c r="Z9" s="38"/>
    </row>
    <row r="10" spans="1:26" ht="27">
      <c r="C10" s="264"/>
      <c r="D10" s="126" t="s">
        <v>9</v>
      </c>
      <c r="E10" s="126" t="s">
        <v>10</v>
      </c>
      <c r="F10" s="126" t="s">
        <v>11</v>
      </c>
      <c r="G10" s="126" t="s">
        <v>12</v>
      </c>
      <c r="H10" s="126" t="s">
        <v>11</v>
      </c>
      <c r="I10" s="126" t="s">
        <v>12</v>
      </c>
      <c r="J10" s="126" t="s">
        <v>13</v>
      </c>
      <c r="K10" s="126" t="s">
        <v>14</v>
      </c>
      <c r="L10" s="126" t="s">
        <v>15</v>
      </c>
      <c r="M10" s="126" t="s">
        <v>16</v>
      </c>
      <c r="N10" s="126" t="s">
        <v>15</v>
      </c>
      <c r="O10" s="126" t="s">
        <v>16</v>
      </c>
      <c r="P10" s="126" t="s">
        <v>13</v>
      </c>
      <c r="Q10" s="126" t="s">
        <v>14</v>
      </c>
      <c r="R10" s="126" t="s">
        <v>17</v>
      </c>
      <c r="S10" s="126" t="s">
        <v>18</v>
      </c>
      <c r="T10" s="75"/>
      <c r="U10" s="26"/>
      <c r="V10" s="26"/>
      <c r="W10" s="75"/>
      <c r="X10" s="26"/>
      <c r="Y10" s="26"/>
      <c r="Z10" s="75"/>
    </row>
    <row r="11" spans="1:26">
      <c r="C11" s="3" t="s">
        <v>19</v>
      </c>
      <c r="D11" s="4">
        <v>3.43</v>
      </c>
      <c r="E11" s="4">
        <v>10</v>
      </c>
      <c r="F11" s="4">
        <v>12.3</v>
      </c>
      <c r="G11" s="3">
        <f>F11</f>
        <v>12.3</v>
      </c>
      <c r="H11" s="5">
        <v>26</v>
      </c>
      <c r="I11" s="3">
        <f>H11</f>
        <v>26</v>
      </c>
      <c r="J11" s="11">
        <f>MAX(F11,H11)</f>
        <v>26</v>
      </c>
      <c r="K11" s="3">
        <f>J11</f>
        <v>26</v>
      </c>
      <c r="L11" s="4">
        <v>12.3</v>
      </c>
      <c r="M11" s="3">
        <f>L11</f>
        <v>12.3</v>
      </c>
      <c r="N11" s="4">
        <v>28</v>
      </c>
      <c r="O11" s="3">
        <f>N11</f>
        <v>28</v>
      </c>
      <c r="P11" s="11">
        <f>MAX(L11,N11)</f>
        <v>28</v>
      </c>
      <c r="Q11" s="3">
        <f>P11</f>
        <v>28</v>
      </c>
      <c r="R11" s="6">
        <v>30</v>
      </c>
      <c r="S11" s="7">
        <v>13.6</v>
      </c>
      <c r="T11" s="20"/>
      <c r="U11" s="20"/>
      <c r="V11" s="20"/>
      <c r="W11" s="20"/>
      <c r="X11" s="20"/>
      <c r="Y11" s="141"/>
    </row>
    <row r="12" spans="1:26">
      <c r="C12" s="20">
        <v>5</v>
      </c>
      <c r="D12" s="43">
        <v>3.2</v>
      </c>
      <c r="E12" s="43">
        <v>10</v>
      </c>
      <c r="F12" s="43">
        <v>6.7</v>
      </c>
      <c r="G12" s="20">
        <f>F12+G11</f>
        <v>19</v>
      </c>
      <c r="H12" s="139">
        <v>16</v>
      </c>
      <c r="I12" s="20">
        <f>H12+I11</f>
        <v>42</v>
      </c>
      <c r="J12" s="142">
        <f t="shared" ref="J12:J16" si="0">MAX(F12,H12)</f>
        <v>16</v>
      </c>
      <c r="K12" s="20">
        <f>J12+K11</f>
        <v>42</v>
      </c>
      <c r="L12" s="43">
        <v>6.7</v>
      </c>
      <c r="M12" s="20">
        <f>L12+M11</f>
        <v>19</v>
      </c>
      <c r="N12" s="43">
        <v>23</v>
      </c>
      <c r="O12" s="20">
        <f>N12+O11</f>
        <v>51</v>
      </c>
      <c r="P12" s="142">
        <f t="shared" ref="P12:P16" si="1">MAX(L12,N12)</f>
        <v>23</v>
      </c>
      <c r="Q12" s="20">
        <f>P12+Q11</f>
        <v>51</v>
      </c>
      <c r="R12" s="140">
        <v>23</v>
      </c>
      <c r="S12" s="141">
        <v>26.799999999999997</v>
      </c>
      <c r="T12" s="20"/>
      <c r="U12" s="20"/>
      <c r="V12" s="20"/>
      <c r="W12" s="20"/>
      <c r="X12" s="20"/>
      <c r="Y12" s="141"/>
    </row>
    <row r="13" spans="1:26">
      <c r="C13" s="20">
        <v>4</v>
      </c>
      <c r="D13" s="43">
        <v>3.2</v>
      </c>
      <c r="E13" s="43">
        <v>10</v>
      </c>
      <c r="F13" s="43">
        <v>7.4</v>
      </c>
      <c r="G13" s="20">
        <f t="shared" ref="G13:G16" si="2">F13+G12</f>
        <v>26.4</v>
      </c>
      <c r="H13" s="139">
        <v>16</v>
      </c>
      <c r="I13" s="20">
        <f t="shared" ref="I13:I16" si="3">H13+I12</f>
        <v>58</v>
      </c>
      <c r="J13" s="142">
        <f t="shared" si="0"/>
        <v>16</v>
      </c>
      <c r="K13" s="20">
        <f t="shared" ref="K13:K16" si="4">J13+K12</f>
        <v>58</v>
      </c>
      <c r="L13" s="43">
        <v>7.4</v>
      </c>
      <c r="M13" s="20">
        <f t="shared" ref="M13:M16" si="5">L13+M12</f>
        <v>26.4</v>
      </c>
      <c r="N13" s="43">
        <v>28</v>
      </c>
      <c r="O13" s="20">
        <f t="shared" ref="O13:O16" si="6">N13+O12</f>
        <v>79</v>
      </c>
      <c r="P13" s="142">
        <f t="shared" si="1"/>
        <v>28</v>
      </c>
      <c r="Q13" s="20">
        <f t="shared" ref="Q13:Q16" si="7">P13+Q12</f>
        <v>79</v>
      </c>
      <c r="R13" s="140">
        <v>29</v>
      </c>
      <c r="S13" s="141">
        <v>37.4</v>
      </c>
      <c r="T13" s="20"/>
      <c r="U13" s="20"/>
      <c r="V13" s="20"/>
      <c r="W13" s="20"/>
      <c r="X13" s="20"/>
      <c r="Y13" s="141"/>
    </row>
    <row r="14" spans="1:26">
      <c r="C14" s="20">
        <v>3</v>
      </c>
      <c r="D14" s="43">
        <v>3.2</v>
      </c>
      <c r="E14" s="43">
        <v>10</v>
      </c>
      <c r="F14" s="43">
        <v>7.1</v>
      </c>
      <c r="G14" s="20">
        <f t="shared" si="2"/>
        <v>33.5</v>
      </c>
      <c r="H14" s="139">
        <v>15</v>
      </c>
      <c r="I14" s="20">
        <f t="shared" si="3"/>
        <v>73</v>
      </c>
      <c r="J14" s="142">
        <f t="shared" si="0"/>
        <v>15</v>
      </c>
      <c r="K14" s="20">
        <f t="shared" si="4"/>
        <v>73</v>
      </c>
      <c r="L14" s="43">
        <v>7.1</v>
      </c>
      <c r="M14" s="20">
        <f t="shared" si="5"/>
        <v>33.5</v>
      </c>
      <c r="N14" s="43">
        <v>20</v>
      </c>
      <c r="O14" s="20">
        <f t="shared" si="6"/>
        <v>99</v>
      </c>
      <c r="P14" s="142">
        <f t="shared" si="1"/>
        <v>20</v>
      </c>
      <c r="Q14" s="20">
        <f t="shared" si="7"/>
        <v>99</v>
      </c>
      <c r="R14" s="140">
        <v>20</v>
      </c>
      <c r="S14" s="141">
        <v>45.3</v>
      </c>
      <c r="T14" s="20"/>
      <c r="U14" s="20"/>
      <c r="V14" s="20"/>
      <c r="W14" s="20"/>
      <c r="X14" s="20"/>
      <c r="Y14" s="141"/>
    </row>
    <row r="15" spans="1:26">
      <c r="C15" s="20">
        <v>2</v>
      </c>
      <c r="D15" s="43">
        <v>3.2</v>
      </c>
      <c r="E15" s="43">
        <v>10</v>
      </c>
      <c r="F15" s="43">
        <v>7.8</v>
      </c>
      <c r="G15" s="20">
        <f t="shared" si="2"/>
        <v>41.3</v>
      </c>
      <c r="H15" s="139">
        <v>17</v>
      </c>
      <c r="I15" s="20">
        <f t="shared" si="3"/>
        <v>90</v>
      </c>
      <c r="J15" s="142">
        <f t="shared" si="0"/>
        <v>17</v>
      </c>
      <c r="K15" s="20">
        <f t="shared" si="4"/>
        <v>90</v>
      </c>
      <c r="L15" s="43">
        <v>7.8</v>
      </c>
      <c r="M15" s="20">
        <f t="shared" si="5"/>
        <v>41.3</v>
      </c>
      <c r="N15" s="43">
        <v>13</v>
      </c>
      <c r="O15" s="20">
        <f t="shared" si="6"/>
        <v>112</v>
      </c>
      <c r="P15" s="142">
        <f t="shared" si="1"/>
        <v>13</v>
      </c>
      <c r="Q15" s="20">
        <f t="shared" si="7"/>
        <v>112</v>
      </c>
      <c r="R15" s="140">
        <v>14</v>
      </c>
      <c r="S15" s="141">
        <v>50.599999999999994</v>
      </c>
      <c r="T15" s="20"/>
      <c r="U15" s="20"/>
      <c r="V15" s="20"/>
      <c r="W15" s="20"/>
      <c r="X15" s="20"/>
      <c r="Y15" s="141"/>
    </row>
    <row r="16" spans="1:26">
      <c r="C16" s="21">
        <v>1</v>
      </c>
      <c r="D16" s="33">
        <v>3.2</v>
      </c>
      <c r="E16" s="33">
        <v>10</v>
      </c>
      <c r="F16" s="33">
        <v>4.3</v>
      </c>
      <c r="G16" s="21">
        <f t="shared" si="2"/>
        <v>45.599999999999994</v>
      </c>
      <c r="H16" s="31">
        <v>9</v>
      </c>
      <c r="I16" s="21">
        <f t="shared" si="3"/>
        <v>99</v>
      </c>
      <c r="J16" s="50">
        <f t="shared" si="0"/>
        <v>9</v>
      </c>
      <c r="K16" s="21">
        <f t="shared" si="4"/>
        <v>99</v>
      </c>
      <c r="L16" s="33">
        <v>4.3</v>
      </c>
      <c r="M16" s="21">
        <f t="shared" si="5"/>
        <v>45.599999999999994</v>
      </c>
      <c r="N16" s="33">
        <v>7</v>
      </c>
      <c r="O16" s="21">
        <f t="shared" si="6"/>
        <v>119</v>
      </c>
      <c r="P16" s="50">
        <f t="shared" si="1"/>
        <v>7</v>
      </c>
      <c r="Q16" s="21">
        <f t="shared" si="7"/>
        <v>119</v>
      </c>
      <c r="R16" s="32">
        <v>7</v>
      </c>
      <c r="S16" s="39">
        <v>53.199999999999996</v>
      </c>
      <c r="T16" s="20"/>
      <c r="U16" s="20"/>
      <c r="V16" s="20"/>
      <c r="W16" s="20"/>
      <c r="X16" s="20"/>
      <c r="Y16" s="141"/>
    </row>
    <row r="17" spans="3:57">
      <c r="C17" s="20"/>
      <c r="D17" s="43"/>
      <c r="E17" s="43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141"/>
    </row>
    <row r="18" spans="3:57"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</row>
    <row r="20" spans="3:57">
      <c r="I20" s="89"/>
      <c r="J20" s="89"/>
      <c r="K20" s="89"/>
      <c r="L20" s="89"/>
      <c r="M20" s="89"/>
      <c r="N20" s="89"/>
      <c r="P20" s="88"/>
      <c r="Q20" s="88"/>
      <c r="R20" s="88"/>
      <c r="S20" s="88"/>
      <c r="T20" s="88"/>
      <c r="U20" s="88"/>
    </row>
    <row r="21" spans="3:57" ht="15">
      <c r="C21" s="19" t="s">
        <v>252</v>
      </c>
      <c r="F21" s="30" t="s">
        <v>3</v>
      </c>
      <c r="H21" s="18" t="s">
        <v>524</v>
      </c>
      <c r="I21" s="165"/>
      <c r="J21" s="251" t="s">
        <v>116</v>
      </c>
      <c r="K21" s="226">
        <v>1.2</v>
      </c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</row>
    <row r="23" spans="3:57" ht="15">
      <c r="C23" s="19" t="s">
        <v>20</v>
      </c>
      <c r="Q23" s="225" t="s">
        <v>435</v>
      </c>
    </row>
    <row r="25" spans="3:57" ht="15" customHeight="1">
      <c r="C25" s="265" t="s">
        <v>21</v>
      </c>
      <c r="D25" s="263" t="s">
        <v>22</v>
      </c>
      <c r="E25" s="263" t="s">
        <v>23</v>
      </c>
      <c r="F25" s="265" t="s">
        <v>24</v>
      </c>
      <c r="G25" s="263" t="s">
        <v>25</v>
      </c>
      <c r="H25" s="263" t="s">
        <v>26</v>
      </c>
      <c r="I25" s="263" t="s">
        <v>27</v>
      </c>
      <c r="J25" s="263" t="s">
        <v>28</v>
      </c>
      <c r="K25" s="263" t="s">
        <v>29</v>
      </c>
      <c r="L25" s="263" t="s">
        <v>30</v>
      </c>
      <c r="M25" s="263" t="s">
        <v>315</v>
      </c>
      <c r="N25" s="263" t="s">
        <v>316</v>
      </c>
      <c r="O25" s="263" t="s">
        <v>31</v>
      </c>
      <c r="P25" s="267"/>
      <c r="Q25" s="18" t="s">
        <v>434</v>
      </c>
      <c r="R25" s="18"/>
      <c r="S25" s="18"/>
      <c r="T25" s="226" t="s">
        <v>525</v>
      </c>
      <c r="U25" s="18"/>
      <c r="V25" s="25"/>
      <c r="W25" s="25"/>
      <c r="X25" s="18"/>
      <c r="Y25" s="268"/>
      <c r="Z25" s="268"/>
      <c r="AA25" s="268"/>
      <c r="AB25" s="268"/>
      <c r="AC25" s="268"/>
      <c r="AD25" s="268"/>
      <c r="AE25" s="25"/>
      <c r="AF25" s="25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</row>
    <row r="26" spans="3:57">
      <c r="C26" s="266"/>
      <c r="D26" s="264"/>
      <c r="E26" s="264"/>
      <c r="F26" s="266"/>
      <c r="G26" s="264"/>
      <c r="H26" s="264"/>
      <c r="I26" s="264"/>
      <c r="J26" s="264"/>
      <c r="K26" s="264"/>
      <c r="L26" s="264"/>
      <c r="M26" s="264"/>
      <c r="N26" s="264"/>
      <c r="O26" s="264"/>
      <c r="P26" s="267"/>
      <c r="Q26" s="26"/>
      <c r="R26" s="26"/>
      <c r="S26" s="26"/>
      <c r="T26" s="26"/>
      <c r="U26" s="26"/>
      <c r="V26" s="25"/>
      <c r="W26" s="25"/>
      <c r="X26" s="25"/>
      <c r="Y26" s="26"/>
      <c r="Z26" s="26"/>
      <c r="AA26" s="26"/>
      <c r="AB26" s="26"/>
      <c r="AC26" s="26"/>
      <c r="AD26" s="26"/>
      <c r="AE26" s="25"/>
      <c r="AF26" s="25"/>
      <c r="AG26" s="25"/>
      <c r="AH26" s="25"/>
      <c r="AI26" s="38"/>
      <c r="AJ26" s="38"/>
      <c r="AK26" s="38"/>
      <c r="AL26" s="38"/>
      <c r="AM26" s="38"/>
      <c r="AN26" s="38"/>
      <c r="AO26" s="38"/>
      <c r="AP26" s="38"/>
      <c r="AQ26" s="38"/>
      <c r="AR26" s="25"/>
      <c r="AS26" s="25"/>
      <c r="AT26" s="25"/>
      <c r="AU26" s="177"/>
      <c r="AV26" s="25"/>
      <c r="AW26" s="38"/>
      <c r="AX26" s="38"/>
      <c r="AY26" s="38"/>
      <c r="AZ26" s="38"/>
      <c r="BA26" s="38"/>
      <c r="BB26" s="38"/>
      <c r="BC26" s="38"/>
      <c r="BD26" s="38"/>
      <c r="BE26" s="38"/>
    </row>
    <row r="27" spans="3:57">
      <c r="C27" s="3" t="s">
        <v>32</v>
      </c>
      <c r="D27" s="6">
        <v>26</v>
      </c>
      <c r="E27" s="8">
        <v>26</v>
      </c>
      <c r="F27" s="9">
        <v>2.6</v>
      </c>
      <c r="G27" s="4">
        <v>0</v>
      </c>
      <c r="H27" s="4">
        <v>0</v>
      </c>
      <c r="I27" s="3">
        <v>10</v>
      </c>
      <c r="J27" s="8">
        <v>0</v>
      </c>
      <c r="K27" s="8">
        <v>0</v>
      </c>
      <c r="L27" s="8">
        <v>89.18</v>
      </c>
      <c r="M27" s="8">
        <v>10.701600000000001</v>
      </c>
      <c r="N27" s="8">
        <v>10.701600000000001</v>
      </c>
      <c r="O27" s="11">
        <f>M27</f>
        <v>10.701600000000001</v>
      </c>
      <c r="P27" s="205"/>
      <c r="Q27" s="30"/>
      <c r="R27" s="30"/>
      <c r="S27" s="30"/>
      <c r="T27" s="30"/>
      <c r="U27" s="30"/>
      <c r="V27" s="44"/>
      <c r="W27" s="20"/>
      <c r="X27" s="20"/>
      <c r="Y27" s="30"/>
      <c r="Z27" s="30"/>
      <c r="AA27" s="30"/>
      <c r="AB27" s="30"/>
      <c r="AC27" s="30"/>
      <c r="AD27" s="30"/>
      <c r="AE27" s="44"/>
      <c r="AF27" s="20"/>
      <c r="AG27" s="2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39"/>
      <c r="AS27" s="139"/>
      <c r="AT27" s="139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</row>
    <row r="28" spans="3:57">
      <c r="C28" s="20">
        <v>5</v>
      </c>
      <c r="D28" s="140">
        <v>16</v>
      </c>
      <c r="E28" s="42">
        <v>42</v>
      </c>
      <c r="F28" s="63">
        <v>4.2</v>
      </c>
      <c r="G28" s="43">
        <v>0</v>
      </c>
      <c r="H28" s="43">
        <v>0</v>
      </c>
      <c r="I28" s="20">
        <v>10</v>
      </c>
      <c r="J28" s="42">
        <v>0</v>
      </c>
      <c r="K28" s="42">
        <v>0</v>
      </c>
      <c r="L28" s="42">
        <v>223.58000000000004</v>
      </c>
      <c r="M28" s="42">
        <v>26.829600000000003</v>
      </c>
      <c r="N28" s="42">
        <v>26.829600000000003</v>
      </c>
      <c r="O28" s="142">
        <f>M28-M27</f>
        <v>16.128</v>
      </c>
      <c r="P28" s="51"/>
      <c r="Q28" s="30"/>
      <c r="R28" s="30"/>
      <c r="S28" s="30"/>
      <c r="T28" s="30"/>
      <c r="U28" s="30"/>
      <c r="V28" s="44"/>
      <c r="W28" s="20"/>
      <c r="X28" s="20"/>
      <c r="Y28" s="30"/>
      <c r="Z28" s="30"/>
      <c r="AA28" s="30"/>
      <c r="AB28" s="30"/>
      <c r="AC28" s="30"/>
      <c r="AD28" s="30"/>
      <c r="AE28" s="44"/>
      <c r="AF28" s="20"/>
      <c r="AG28" s="2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39"/>
      <c r="AS28" s="139"/>
      <c r="AT28" s="139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</row>
    <row r="29" spans="3:57">
      <c r="C29" s="20">
        <v>4</v>
      </c>
      <c r="D29" s="140">
        <v>16</v>
      </c>
      <c r="E29" s="42">
        <v>58</v>
      </c>
      <c r="F29" s="63">
        <v>5.8</v>
      </c>
      <c r="G29" s="43">
        <v>0</v>
      </c>
      <c r="H29" s="43">
        <v>0</v>
      </c>
      <c r="I29" s="20">
        <v>10</v>
      </c>
      <c r="J29" s="42">
        <v>0</v>
      </c>
      <c r="K29" s="42">
        <v>0</v>
      </c>
      <c r="L29" s="42">
        <v>409.18</v>
      </c>
      <c r="M29" s="42">
        <v>49.101599999999998</v>
      </c>
      <c r="N29" s="42">
        <v>49.101599999999998</v>
      </c>
      <c r="O29" s="142">
        <f>M29-M28</f>
        <v>22.271999999999995</v>
      </c>
      <c r="P29" s="51"/>
      <c r="Q29" s="30"/>
      <c r="R29" s="30"/>
      <c r="S29" s="30"/>
      <c r="T29" s="30"/>
      <c r="U29" s="30"/>
      <c r="V29" s="44"/>
      <c r="W29" s="20"/>
      <c r="X29" s="20"/>
      <c r="Y29" s="30"/>
      <c r="Z29" s="30"/>
      <c r="AA29" s="30"/>
      <c r="AB29" s="30"/>
      <c r="AC29" s="30"/>
      <c r="AD29" s="30"/>
      <c r="AE29" s="44"/>
      <c r="AF29" s="20"/>
      <c r="AG29" s="2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39"/>
      <c r="AS29" s="139"/>
      <c r="AT29" s="139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</row>
    <row r="30" spans="3:57">
      <c r="C30" s="20">
        <v>3</v>
      </c>
      <c r="D30" s="140">
        <v>15</v>
      </c>
      <c r="E30" s="42">
        <v>73</v>
      </c>
      <c r="F30" s="63">
        <v>7.3</v>
      </c>
      <c r="G30" s="43">
        <v>0</v>
      </c>
      <c r="H30" s="43">
        <v>0</v>
      </c>
      <c r="I30" s="20">
        <v>10</v>
      </c>
      <c r="J30" s="42">
        <v>0</v>
      </c>
      <c r="K30" s="42">
        <v>0</v>
      </c>
      <c r="L30" s="42">
        <v>642.78000000000009</v>
      </c>
      <c r="M30" s="42">
        <v>77.133600000000001</v>
      </c>
      <c r="N30" s="42">
        <v>77.133600000000001</v>
      </c>
      <c r="O30" s="142">
        <f>M30-M29</f>
        <v>28.032000000000004</v>
      </c>
      <c r="P30" s="51"/>
      <c r="Q30" s="30"/>
      <c r="R30" s="30"/>
      <c r="S30" s="30"/>
      <c r="T30" s="30"/>
      <c r="U30" s="30"/>
      <c r="V30" s="44"/>
      <c r="W30" s="20"/>
      <c r="X30" s="20"/>
      <c r="Y30" s="30"/>
      <c r="Z30" s="30"/>
      <c r="AA30" s="30"/>
      <c r="AB30" s="30"/>
      <c r="AC30" s="30"/>
      <c r="AD30" s="30"/>
      <c r="AE30" s="44"/>
      <c r="AF30" s="20"/>
      <c r="AG30" s="2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39"/>
      <c r="AS30" s="139"/>
      <c r="AT30" s="139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</row>
    <row r="31" spans="3:57">
      <c r="C31" s="20">
        <v>2</v>
      </c>
      <c r="D31" s="140">
        <v>17</v>
      </c>
      <c r="E31" s="42">
        <v>90</v>
      </c>
      <c r="F31" s="63">
        <v>9</v>
      </c>
      <c r="G31" s="43">
        <v>0</v>
      </c>
      <c r="H31" s="43">
        <v>0</v>
      </c>
      <c r="I31" s="20">
        <v>10</v>
      </c>
      <c r="J31" s="42">
        <v>0</v>
      </c>
      <c r="K31" s="42">
        <v>0</v>
      </c>
      <c r="L31" s="42">
        <v>930.78</v>
      </c>
      <c r="M31" s="42">
        <v>111.6936</v>
      </c>
      <c r="N31" s="42">
        <v>111.6936</v>
      </c>
      <c r="O31" s="142">
        <f>M31-M30</f>
        <v>34.56</v>
      </c>
      <c r="P31" s="51"/>
      <c r="Q31" s="30"/>
      <c r="R31" s="30"/>
      <c r="S31" s="30"/>
      <c r="T31" s="30"/>
      <c r="U31" s="30"/>
      <c r="V31" s="44"/>
      <c r="W31" s="20"/>
      <c r="X31" s="20"/>
      <c r="Y31" s="30"/>
      <c r="Z31" s="30"/>
      <c r="AA31" s="30"/>
      <c r="AB31" s="30"/>
      <c r="AC31" s="30"/>
      <c r="AD31" s="30"/>
      <c r="AE31" s="44"/>
      <c r="AF31" s="20"/>
      <c r="AG31" s="2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39"/>
      <c r="AS31" s="139"/>
      <c r="AT31" s="139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</row>
    <row r="32" spans="3:57">
      <c r="C32" s="21">
        <v>1</v>
      </c>
      <c r="D32" s="32">
        <v>9</v>
      </c>
      <c r="E32" s="29">
        <v>99</v>
      </c>
      <c r="F32" s="64">
        <v>9.9</v>
      </c>
      <c r="G32" s="33">
        <v>0</v>
      </c>
      <c r="H32" s="33">
        <v>0</v>
      </c>
      <c r="I32" s="21">
        <v>10</v>
      </c>
      <c r="J32" s="29">
        <v>0</v>
      </c>
      <c r="K32" s="29">
        <v>0</v>
      </c>
      <c r="L32" s="29">
        <v>1247.58</v>
      </c>
      <c r="M32" s="29">
        <v>149.70959999999999</v>
      </c>
      <c r="N32" s="29">
        <v>149.70959999999999</v>
      </c>
      <c r="O32" s="50">
        <f>M32-M31</f>
        <v>38.015999999999991</v>
      </c>
      <c r="P32" s="51"/>
      <c r="Q32" s="30"/>
      <c r="R32" s="30"/>
      <c r="S32" s="30"/>
      <c r="T32" s="30"/>
      <c r="U32" s="30"/>
      <c r="V32" s="44"/>
      <c r="W32" s="20"/>
      <c r="X32" s="20"/>
      <c r="Y32" s="30"/>
      <c r="Z32" s="30"/>
      <c r="AA32" s="30"/>
      <c r="AB32" s="30"/>
      <c r="AC32" s="30"/>
      <c r="AD32" s="30"/>
      <c r="AE32" s="44"/>
      <c r="AF32" s="20"/>
      <c r="AG32" s="2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39"/>
      <c r="AS32" s="139"/>
      <c r="AT32" s="139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</row>
    <row r="33" spans="3:51">
      <c r="Q33" s="17"/>
      <c r="R33" s="17"/>
      <c r="S33" s="17"/>
    </row>
    <row r="36" spans="3:51" ht="15">
      <c r="C36" s="19" t="s">
        <v>253</v>
      </c>
    </row>
    <row r="37" spans="3:51">
      <c r="C37" s="20"/>
      <c r="D37" s="43"/>
      <c r="E37" s="43"/>
      <c r="F37" s="20"/>
      <c r="G37" s="20"/>
      <c r="H37" s="20"/>
      <c r="I37" s="42"/>
      <c r="J37" s="42"/>
      <c r="K37" s="42"/>
      <c r="L37" s="30"/>
      <c r="M37" s="30"/>
      <c r="N37" s="30"/>
      <c r="O37" s="30"/>
      <c r="P37" s="20"/>
      <c r="Q37" s="42"/>
      <c r="R37" s="20"/>
      <c r="S37" s="30"/>
      <c r="T37" s="30"/>
      <c r="U37" s="20"/>
      <c r="V37" s="20"/>
      <c r="W37" s="20"/>
      <c r="X37" s="20"/>
      <c r="AW37" s="132"/>
    </row>
    <row r="38" spans="3:51">
      <c r="C38" s="269" t="s">
        <v>33</v>
      </c>
      <c r="D38" s="270"/>
      <c r="E38" s="270"/>
      <c r="F38" s="270"/>
      <c r="G38" s="270"/>
      <c r="H38" s="270"/>
      <c r="I38" s="270"/>
      <c r="J38" s="270"/>
      <c r="K38" s="270"/>
      <c r="L38" s="270"/>
      <c r="M38" s="270"/>
      <c r="N38" s="270"/>
      <c r="O38" s="270"/>
      <c r="P38" s="270"/>
      <c r="Q38" s="270"/>
      <c r="R38" s="270"/>
      <c r="S38" s="270"/>
      <c r="T38" s="270"/>
      <c r="U38" s="270"/>
      <c r="V38" s="271"/>
      <c r="W38" s="20"/>
      <c r="X38" s="20"/>
      <c r="Y38" s="49" t="s">
        <v>399</v>
      </c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178"/>
      <c r="AN38" s="178"/>
      <c r="AO38" s="178"/>
      <c r="AP38" s="178"/>
      <c r="AQ38" s="178"/>
      <c r="AR38" s="178"/>
      <c r="AS38" s="178"/>
      <c r="AT38" s="178"/>
      <c r="AU38" s="178"/>
      <c r="AV38" s="178"/>
      <c r="AX38" s="178"/>
      <c r="AY38" s="178"/>
    </row>
    <row r="39" spans="3:51" ht="16.5">
      <c r="C39" s="272" t="s">
        <v>34</v>
      </c>
      <c r="D39" s="273"/>
      <c r="E39" s="273"/>
      <c r="F39" s="273"/>
      <c r="G39" s="273"/>
      <c r="H39" s="273"/>
      <c r="I39" s="274" t="s">
        <v>35</v>
      </c>
      <c r="J39" s="274"/>
      <c r="K39" s="49"/>
      <c r="L39" s="275" t="s">
        <v>36</v>
      </c>
      <c r="M39" s="275"/>
      <c r="N39" s="275"/>
      <c r="O39" s="275"/>
      <c r="P39" s="275"/>
      <c r="Q39" s="275"/>
      <c r="R39" s="22" t="s">
        <v>37</v>
      </c>
      <c r="S39" s="22"/>
      <c r="T39" s="22"/>
      <c r="U39" s="22"/>
      <c r="V39" s="22"/>
      <c r="W39" s="18"/>
      <c r="X39" s="18"/>
      <c r="Y39" s="127" t="s">
        <v>400</v>
      </c>
      <c r="Z39" s="127" t="s">
        <v>401</v>
      </c>
      <c r="AA39" s="127" t="s">
        <v>402</v>
      </c>
      <c r="AB39" s="179" t="s">
        <v>115</v>
      </c>
      <c r="AC39" s="127" t="s">
        <v>161</v>
      </c>
      <c r="AD39" s="180" t="s">
        <v>403</v>
      </c>
      <c r="AE39" s="180" t="s">
        <v>163</v>
      </c>
      <c r="AF39" s="180" t="s">
        <v>404</v>
      </c>
      <c r="AG39" s="180" t="s">
        <v>405</v>
      </c>
      <c r="AH39" s="180" t="s">
        <v>140</v>
      </c>
      <c r="AI39" s="180" t="s">
        <v>141</v>
      </c>
      <c r="AJ39" s="180" t="s">
        <v>142</v>
      </c>
      <c r="AK39" s="180" t="s">
        <v>144</v>
      </c>
      <c r="AL39" s="180" t="s">
        <v>143</v>
      </c>
      <c r="AM39" s="181" t="s">
        <v>406</v>
      </c>
      <c r="AN39" s="181" t="s">
        <v>407</v>
      </c>
      <c r="AO39" s="181" t="s">
        <v>408</v>
      </c>
      <c r="AP39" s="181" t="s">
        <v>409</v>
      </c>
      <c r="AQ39" s="182" t="s">
        <v>410</v>
      </c>
      <c r="AR39" s="182" t="s">
        <v>411</v>
      </c>
      <c r="AS39" s="182" t="s">
        <v>412</v>
      </c>
      <c r="AT39" s="182" t="s">
        <v>413</v>
      </c>
      <c r="AU39" s="181" t="s">
        <v>414</v>
      </c>
      <c r="AV39" s="181" t="s">
        <v>415</v>
      </c>
      <c r="AW39" s="181" t="s">
        <v>416</v>
      </c>
      <c r="AX39" s="181" t="s">
        <v>417</v>
      </c>
      <c r="AY39" s="181" t="s">
        <v>418</v>
      </c>
    </row>
    <row r="40" spans="3:51" ht="38.25">
      <c r="C40" s="183" t="s">
        <v>38</v>
      </c>
      <c r="D40" s="126" t="s">
        <v>39</v>
      </c>
      <c r="E40" s="126" t="s">
        <v>40</v>
      </c>
      <c r="F40" s="126" t="s">
        <v>41</v>
      </c>
      <c r="G40" s="126" t="s">
        <v>42</v>
      </c>
      <c r="H40" s="126" t="s">
        <v>43</v>
      </c>
      <c r="I40" s="134" t="s">
        <v>44</v>
      </c>
      <c r="J40" s="134" t="s">
        <v>45</v>
      </c>
      <c r="K40" s="127" t="s">
        <v>46</v>
      </c>
      <c r="L40" s="87" t="s">
        <v>47</v>
      </c>
      <c r="M40" s="87" t="s">
        <v>48</v>
      </c>
      <c r="N40" s="87" t="s">
        <v>49</v>
      </c>
      <c r="O40" s="87" t="s">
        <v>50</v>
      </c>
      <c r="P40" s="87" t="s">
        <v>222</v>
      </c>
      <c r="Q40" s="87" t="s">
        <v>46</v>
      </c>
      <c r="R40" s="87" t="s">
        <v>51</v>
      </c>
      <c r="S40" s="87" t="s">
        <v>52</v>
      </c>
      <c r="T40" s="87" t="s">
        <v>53</v>
      </c>
      <c r="U40" s="87" t="s">
        <v>224</v>
      </c>
      <c r="V40" s="87" t="s">
        <v>46</v>
      </c>
      <c r="W40" s="26"/>
      <c r="X40" s="26"/>
      <c r="Y40" s="139">
        <v>38</v>
      </c>
      <c r="Z40" s="139">
        <v>2440</v>
      </c>
      <c r="AA40" s="139">
        <v>1220</v>
      </c>
      <c r="AB40" s="140">
        <v>0.8</v>
      </c>
      <c r="AC40" s="140">
        <v>1.1499999999999999</v>
      </c>
      <c r="AD40" s="140">
        <v>1</v>
      </c>
      <c r="AE40" s="140">
        <v>1</v>
      </c>
      <c r="AF40" s="140">
        <v>1</v>
      </c>
      <c r="AG40" s="140">
        <v>1</v>
      </c>
      <c r="AH40" s="140">
        <v>1.3</v>
      </c>
      <c r="AI40" s="140">
        <v>1</v>
      </c>
      <c r="AJ40" s="140">
        <v>1</v>
      </c>
      <c r="AK40" s="140">
        <v>1</v>
      </c>
      <c r="AL40" s="140">
        <v>1</v>
      </c>
      <c r="AM40" s="43">
        <v>0.42</v>
      </c>
      <c r="AN40" s="43">
        <v>0.42</v>
      </c>
      <c r="AO40" s="43" t="s">
        <v>419</v>
      </c>
      <c r="AP40" s="43" t="s">
        <v>420</v>
      </c>
      <c r="AQ40" s="15">
        <v>9500</v>
      </c>
      <c r="AR40" s="15">
        <v>475</v>
      </c>
      <c r="AS40" s="15">
        <v>200000</v>
      </c>
      <c r="AT40" s="15">
        <v>42560</v>
      </c>
      <c r="AU40" s="16" t="s">
        <v>421</v>
      </c>
      <c r="AV40" s="43" t="s">
        <v>422</v>
      </c>
      <c r="AW40" s="43" t="s">
        <v>419</v>
      </c>
      <c r="AX40" s="184">
        <v>119.40587999999997</v>
      </c>
      <c r="AY40" s="184">
        <f>T41</f>
        <v>156.68038790179097</v>
      </c>
    </row>
    <row r="41" spans="3:51" ht="15">
      <c r="C41" s="203" t="s">
        <v>54</v>
      </c>
      <c r="D41" s="14">
        <v>12.5</v>
      </c>
      <c r="E41" s="14" t="s">
        <v>436</v>
      </c>
      <c r="F41" s="13">
        <v>64</v>
      </c>
      <c r="G41" s="14">
        <v>3.66</v>
      </c>
      <c r="H41" s="14">
        <v>150</v>
      </c>
      <c r="I41" s="12">
        <v>6.29</v>
      </c>
      <c r="J41" s="90">
        <f>I41/F27</f>
        <v>2.4192307692307691</v>
      </c>
      <c r="K41" s="91" t="str">
        <f>IF(J41&gt;1,"OK","NOT OK")</f>
        <v>OK</v>
      </c>
      <c r="L41" s="14" t="s">
        <v>56</v>
      </c>
      <c r="M41" s="14" t="s">
        <v>57</v>
      </c>
      <c r="N41" s="13">
        <v>1</v>
      </c>
      <c r="O41" s="12">
        <v>483</v>
      </c>
      <c r="P41" s="12">
        <v>10.701600000000001</v>
      </c>
      <c r="Q41" s="13" t="str">
        <f>IF(O41&gt;P41,"OK","NOT OK")</f>
        <v>OK</v>
      </c>
      <c r="R41" s="14" t="s">
        <v>58</v>
      </c>
      <c r="S41" s="14">
        <v>4</v>
      </c>
      <c r="T41" s="92">
        <v>156.68038790179097</v>
      </c>
      <c r="U41" s="92">
        <v>10.701600000000001</v>
      </c>
      <c r="V41" s="13" t="str">
        <f>IF(T41&gt;U41,"OK","NOT OK")</f>
        <v>OK</v>
      </c>
      <c r="W41" s="30"/>
      <c r="X41" s="30"/>
      <c r="Y41" s="139">
        <v>38</v>
      </c>
      <c r="Z41" s="139">
        <v>2440</v>
      </c>
      <c r="AA41" s="139">
        <v>1220</v>
      </c>
      <c r="AB41" s="140">
        <v>0.8</v>
      </c>
      <c r="AC41" s="140">
        <v>1.1499999999999999</v>
      </c>
      <c r="AD41" s="140">
        <v>1</v>
      </c>
      <c r="AE41" s="140">
        <v>1</v>
      </c>
      <c r="AF41" s="140">
        <v>1</v>
      </c>
      <c r="AG41" s="140">
        <v>1</v>
      </c>
      <c r="AH41" s="140">
        <v>1.3</v>
      </c>
      <c r="AI41" s="140">
        <v>1</v>
      </c>
      <c r="AJ41" s="140">
        <v>1</v>
      </c>
      <c r="AK41" s="140">
        <v>1</v>
      </c>
      <c r="AL41" s="140">
        <v>1</v>
      </c>
      <c r="AM41" s="43">
        <v>0.42</v>
      </c>
      <c r="AN41" s="43">
        <v>0.42</v>
      </c>
      <c r="AO41" s="43" t="s">
        <v>419</v>
      </c>
      <c r="AP41" s="43" t="s">
        <v>420</v>
      </c>
      <c r="AQ41" s="15">
        <v>9500</v>
      </c>
      <c r="AR41" s="15">
        <v>475</v>
      </c>
      <c r="AS41" s="15">
        <v>200000</v>
      </c>
      <c r="AT41" s="15">
        <v>42560</v>
      </c>
      <c r="AU41" s="16" t="s">
        <v>421</v>
      </c>
      <c r="AV41" s="43" t="s">
        <v>422</v>
      </c>
      <c r="AW41" s="43" t="s">
        <v>419</v>
      </c>
      <c r="AX41" s="184">
        <v>119.40587999999997</v>
      </c>
      <c r="AY41" s="184">
        <f t="shared" ref="AY41:AY45" si="8">T42</f>
        <v>173.65038757698619</v>
      </c>
    </row>
    <row r="42" spans="3:51" ht="15">
      <c r="C42" s="185" t="s">
        <v>54</v>
      </c>
      <c r="D42" s="227">
        <v>12.5</v>
      </c>
      <c r="E42" s="227" t="s">
        <v>436</v>
      </c>
      <c r="F42" s="228">
        <v>64</v>
      </c>
      <c r="G42" s="227">
        <v>3.66</v>
      </c>
      <c r="H42" s="227">
        <v>125</v>
      </c>
      <c r="I42" s="229">
        <v>7.55</v>
      </c>
      <c r="J42" s="230">
        <f t="shared" ref="J42:J46" si="9">I42/F28</f>
        <v>1.7976190476190474</v>
      </c>
      <c r="K42" s="231" t="str">
        <f t="shared" ref="K42:K46" si="10">IF(J42&gt;1,"OK","NOT OK")</f>
        <v>OK</v>
      </c>
      <c r="L42" s="227" t="s">
        <v>56</v>
      </c>
      <c r="M42" s="227" t="s">
        <v>57</v>
      </c>
      <c r="N42" s="228">
        <v>1</v>
      </c>
      <c r="O42" s="229">
        <v>483</v>
      </c>
      <c r="P42" s="229">
        <v>26.829600000000003</v>
      </c>
      <c r="Q42" s="228" t="str">
        <f t="shared" ref="Q42:Q46" si="11">IF(O42&gt;P42,"OK","NOT OK")</f>
        <v>OK</v>
      </c>
      <c r="R42" s="227" t="s">
        <v>58</v>
      </c>
      <c r="S42" s="227">
        <v>4</v>
      </c>
      <c r="T42" s="232">
        <v>173.65038757698619</v>
      </c>
      <c r="U42" s="232">
        <v>26.829600000000003</v>
      </c>
      <c r="V42" s="228" t="str">
        <f t="shared" ref="V42:V46" si="12">IF(T42&gt;U42,"OK","NOT OK")</f>
        <v>OK</v>
      </c>
      <c r="W42" s="30"/>
      <c r="X42" s="30"/>
      <c r="Y42" s="139">
        <v>38</v>
      </c>
      <c r="Z42" s="139">
        <v>2440</v>
      </c>
      <c r="AA42" s="139">
        <v>1220</v>
      </c>
      <c r="AB42" s="140">
        <v>0.8</v>
      </c>
      <c r="AC42" s="140">
        <v>1.1499999999999999</v>
      </c>
      <c r="AD42" s="140">
        <v>1</v>
      </c>
      <c r="AE42" s="140">
        <v>1</v>
      </c>
      <c r="AF42" s="140">
        <v>1</v>
      </c>
      <c r="AG42" s="140">
        <v>1</v>
      </c>
      <c r="AH42" s="140">
        <v>1.3</v>
      </c>
      <c r="AI42" s="140">
        <v>1</v>
      </c>
      <c r="AJ42" s="140">
        <v>1</v>
      </c>
      <c r="AK42" s="140">
        <v>1</v>
      </c>
      <c r="AL42" s="140">
        <v>1</v>
      </c>
      <c r="AM42" s="43">
        <v>0.42</v>
      </c>
      <c r="AN42" s="43">
        <v>0.42</v>
      </c>
      <c r="AO42" s="43" t="s">
        <v>419</v>
      </c>
      <c r="AP42" s="43" t="s">
        <v>420</v>
      </c>
      <c r="AQ42" s="15">
        <v>9500</v>
      </c>
      <c r="AR42" s="15">
        <v>475</v>
      </c>
      <c r="AS42" s="15">
        <v>200000</v>
      </c>
      <c r="AT42" s="15">
        <v>63840</v>
      </c>
      <c r="AU42" s="16" t="s">
        <v>421</v>
      </c>
      <c r="AV42" s="43" t="s">
        <v>422</v>
      </c>
      <c r="AW42" s="43" t="s">
        <v>419</v>
      </c>
      <c r="AX42" s="184">
        <v>179.10881999999995</v>
      </c>
      <c r="AY42" s="184">
        <f t="shared" si="8"/>
        <v>260.47558136547929</v>
      </c>
    </row>
    <row r="43" spans="3:51" ht="15">
      <c r="C43" s="185" t="s">
        <v>54</v>
      </c>
      <c r="D43" s="227">
        <v>12.5</v>
      </c>
      <c r="E43" s="227" t="s">
        <v>436</v>
      </c>
      <c r="F43" s="228">
        <v>64</v>
      </c>
      <c r="G43" s="227">
        <v>3.66</v>
      </c>
      <c r="H43" s="227">
        <v>75</v>
      </c>
      <c r="I43" s="229">
        <v>12.58</v>
      </c>
      <c r="J43" s="230">
        <f t="shared" si="9"/>
        <v>2.1689655172413795</v>
      </c>
      <c r="K43" s="231" t="str">
        <f t="shared" si="10"/>
        <v>OK</v>
      </c>
      <c r="L43" s="227" t="s">
        <v>56</v>
      </c>
      <c r="M43" s="227" t="s">
        <v>57</v>
      </c>
      <c r="N43" s="228">
        <v>1</v>
      </c>
      <c r="O43" s="229">
        <v>483</v>
      </c>
      <c r="P43" s="229">
        <v>49.101599999999998</v>
      </c>
      <c r="Q43" s="228" t="str">
        <f t="shared" si="11"/>
        <v>OK</v>
      </c>
      <c r="R43" s="227" t="s">
        <v>58</v>
      </c>
      <c r="S43" s="227">
        <v>6</v>
      </c>
      <c r="T43" s="232">
        <v>260.47558136547929</v>
      </c>
      <c r="U43" s="232">
        <v>49.101599999999998</v>
      </c>
      <c r="V43" s="228" t="str">
        <f t="shared" si="12"/>
        <v>OK</v>
      </c>
      <c r="W43" s="30"/>
      <c r="X43" s="30"/>
      <c r="Y43" s="139">
        <v>38</v>
      </c>
      <c r="Z43" s="139">
        <v>2440</v>
      </c>
      <c r="AA43" s="139">
        <v>1220</v>
      </c>
      <c r="AB43" s="140">
        <v>0.8</v>
      </c>
      <c r="AC43" s="140">
        <v>1.1499999999999999</v>
      </c>
      <c r="AD43" s="140">
        <v>1</v>
      </c>
      <c r="AE43" s="140">
        <v>1</v>
      </c>
      <c r="AF43" s="140">
        <v>1</v>
      </c>
      <c r="AG43" s="140">
        <v>1</v>
      </c>
      <c r="AH43" s="140">
        <v>1.3</v>
      </c>
      <c r="AI43" s="140">
        <v>1</v>
      </c>
      <c r="AJ43" s="140">
        <v>1</v>
      </c>
      <c r="AK43" s="140">
        <v>1</v>
      </c>
      <c r="AL43" s="140">
        <v>1</v>
      </c>
      <c r="AM43" s="43">
        <v>0.42</v>
      </c>
      <c r="AN43" s="43">
        <v>0.42</v>
      </c>
      <c r="AO43" s="43" t="s">
        <v>419</v>
      </c>
      <c r="AP43" s="43" t="s">
        <v>420</v>
      </c>
      <c r="AQ43" s="15">
        <v>9500</v>
      </c>
      <c r="AR43" s="15">
        <v>475</v>
      </c>
      <c r="AS43" s="15">
        <v>200000</v>
      </c>
      <c r="AT43" s="15">
        <v>85120</v>
      </c>
      <c r="AU43" s="16" t="s">
        <v>421</v>
      </c>
      <c r="AV43" s="43" t="s">
        <v>422</v>
      </c>
      <c r="AW43" s="43" t="s">
        <v>54</v>
      </c>
      <c r="AX43" s="184">
        <v>315.19935999999996</v>
      </c>
      <c r="AY43" s="184">
        <f t="shared" si="8"/>
        <v>347.30077515397238</v>
      </c>
    </row>
    <row r="44" spans="3:51" ht="15">
      <c r="C44" s="185" t="s">
        <v>54</v>
      </c>
      <c r="D44" s="227">
        <v>12.5</v>
      </c>
      <c r="E44" s="227" t="s">
        <v>436</v>
      </c>
      <c r="F44" s="228">
        <v>64</v>
      </c>
      <c r="G44" s="227">
        <v>3.66</v>
      </c>
      <c r="H44" s="227">
        <v>50</v>
      </c>
      <c r="I44" s="229">
        <v>18.87</v>
      </c>
      <c r="J44" s="230">
        <f t="shared" si="9"/>
        <v>2.5849315068493151</v>
      </c>
      <c r="K44" s="231" t="str">
        <f t="shared" si="10"/>
        <v>OK</v>
      </c>
      <c r="L44" s="227" t="s">
        <v>56</v>
      </c>
      <c r="M44" s="227" t="s">
        <v>57</v>
      </c>
      <c r="N44" s="228">
        <v>1</v>
      </c>
      <c r="O44" s="229">
        <v>483</v>
      </c>
      <c r="P44" s="229">
        <v>77.133600000000001</v>
      </c>
      <c r="Q44" s="228" t="str">
        <f t="shared" si="11"/>
        <v>OK</v>
      </c>
      <c r="R44" s="227" t="s">
        <v>58</v>
      </c>
      <c r="S44" s="227">
        <v>8</v>
      </c>
      <c r="T44" s="232">
        <v>347.30077515397238</v>
      </c>
      <c r="U44" s="232">
        <v>77.133600000000001</v>
      </c>
      <c r="V44" s="228" t="str">
        <f t="shared" si="12"/>
        <v>OK</v>
      </c>
      <c r="W44" s="30"/>
      <c r="X44" s="30"/>
      <c r="Y44" s="139">
        <v>38</v>
      </c>
      <c r="Z44" s="139">
        <v>2440</v>
      </c>
      <c r="AA44" s="139">
        <v>1220</v>
      </c>
      <c r="AB44" s="140">
        <v>0.8</v>
      </c>
      <c r="AC44" s="140">
        <v>1.1499999999999999</v>
      </c>
      <c r="AD44" s="140">
        <v>1</v>
      </c>
      <c r="AE44" s="140">
        <v>1</v>
      </c>
      <c r="AF44" s="140">
        <v>1</v>
      </c>
      <c r="AG44" s="140">
        <v>1</v>
      </c>
      <c r="AH44" s="140">
        <v>1.3</v>
      </c>
      <c r="AI44" s="140">
        <v>1</v>
      </c>
      <c r="AJ44" s="140">
        <v>1</v>
      </c>
      <c r="AK44" s="140">
        <v>1</v>
      </c>
      <c r="AL44" s="140">
        <v>1</v>
      </c>
      <c r="AM44" s="43">
        <v>0.42</v>
      </c>
      <c r="AN44" s="43">
        <v>0.42</v>
      </c>
      <c r="AO44" s="43" t="s">
        <v>419</v>
      </c>
      <c r="AP44" s="43" t="s">
        <v>420</v>
      </c>
      <c r="AQ44" s="15">
        <v>9500</v>
      </c>
      <c r="AR44" s="15">
        <v>475</v>
      </c>
      <c r="AS44" s="15">
        <v>200000</v>
      </c>
      <c r="AT44" s="15">
        <v>106400</v>
      </c>
      <c r="AU44" s="16" t="s">
        <v>421</v>
      </c>
      <c r="AV44" s="43" t="s">
        <v>422</v>
      </c>
      <c r="AW44" s="43" t="s">
        <v>54</v>
      </c>
      <c r="AX44" s="184">
        <v>393.99919999999997</v>
      </c>
      <c r="AY44" s="184">
        <f t="shared" si="8"/>
        <v>434.12596894246542</v>
      </c>
    </row>
    <row r="45" spans="3:51" ht="15">
      <c r="C45" s="185" t="s">
        <v>54</v>
      </c>
      <c r="D45" s="227">
        <v>12.5</v>
      </c>
      <c r="E45" s="227" t="s">
        <v>436</v>
      </c>
      <c r="F45" s="228">
        <v>64</v>
      </c>
      <c r="G45" s="227">
        <v>3.66</v>
      </c>
      <c r="H45" s="227">
        <v>50</v>
      </c>
      <c r="I45" s="229">
        <v>18.87</v>
      </c>
      <c r="J45" s="230">
        <f t="shared" si="9"/>
        <v>2.0966666666666667</v>
      </c>
      <c r="K45" s="231" t="str">
        <f t="shared" si="10"/>
        <v>OK</v>
      </c>
      <c r="L45" s="227" t="s">
        <v>56</v>
      </c>
      <c r="M45" s="227" t="s">
        <v>57</v>
      </c>
      <c r="N45" s="228">
        <v>1</v>
      </c>
      <c r="O45" s="229">
        <v>483</v>
      </c>
      <c r="P45" s="229">
        <v>111.6936</v>
      </c>
      <c r="Q45" s="228" t="str">
        <f t="shared" si="11"/>
        <v>OK</v>
      </c>
      <c r="R45" s="227" t="s">
        <v>58</v>
      </c>
      <c r="S45" s="227">
        <v>10</v>
      </c>
      <c r="T45" s="232">
        <v>434.12596894246542</v>
      </c>
      <c r="U45" s="232">
        <v>111.6936</v>
      </c>
      <c r="V45" s="228" t="str">
        <f t="shared" si="12"/>
        <v>OK</v>
      </c>
      <c r="W45" s="30"/>
      <c r="X45" s="30"/>
      <c r="Y45" s="31">
        <v>38</v>
      </c>
      <c r="Z45" s="31">
        <v>2440</v>
      </c>
      <c r="AA45" s="31">
        <v>1220</v>
      </c>
      <c r="AB45" s="32">
        <v>0.8</v>
      </c>
      <c r="AC45" s="32">
        <v>1.1499999999999999</v>
      </c>
      <c r="AD45" s="32">
        <v>1</v>
      </c>
      <c r="AE45" s="32">
        <v>1</v>
      </c>
      <c r="AF45" s="32">
        <v>1</v>
      </c>
      <c r="AG45" s="32">
        <v>1</v>
      </c>
      <c r="AH45" s="32">
        <v>1.3</v>
      </c>
      <c r="AI45" s="32">
        <v>1</v>
      </c>
      <c r="AJ45" s="32">
        <v>1</v>
      </c>
      <c r="AK45" s="32">
        <v>1</v>
      </c>
      <c r="AL45" s="32">
        <v>1</v>
      </c>
      <c r="AM45" s="33">
        <v>0.42</v>
      </c>
      <c r="AN45" s="33">
        <v>0.42</v>
      </c>
      <c r="AO45" s="33" t="s">
        <v>419</v>
      </c>
      <c r="AP45" s="33" t="s">
        <v>420</v>
      </c>
      <c r="AQ45" s="132">
        <v>9500</v>
      </c>
      <c r="AR45" s="132">
        <v>475</v>
      </c>
      <c r="AS45" s="132">
        <v>200000</v>
      </c>
      <c r="AT45" s="132">
        <v>127680</v>
      </c>
      <c r="AU45" s="186" t="s">
        <v>421</v>
      </c>
      <c r="AV45" s="33" t="s">
        <v>422</v>
      </c>
      <c r="AW45" s="33" t="s">
        <v>54</v>
      </c>
      <c r="AX45" s="187">
        <v>472.79903999999993</v>
      </c>
      <c r="AY45" s="187">
        <f t="shared" si="8"/>
        <v>520.95116273095857</v>
      </c>
    </row>
    <row r="46" spans="3:51">
      <c r="C46" s="188" t="s">
        <v>54</v>
      </c>
      <c r="D46" s="40">
        <v>12.5</v>
      </c>
      <c r="E46" s="40" t="s">
        <v>436</v>
      </c>
      <c r="F46" s="41">
        <v>64</v>
      </c>
      <c r="G46" s="40">
        <v>3.66</v>
      </c>
      <c r="H46" s="40">
        <v>50</v>
      </c>
      <c r="I46" s="58">
        <v>18.87</v>
      </c>
      <c r="J46" s="52">
        <f t="shared" si="9"/>
        <v>1.906060606060606</v>
      </c>
      <c r="K46" s="53" t="str">
        <f t="shared" si="10"/>
        <v>OK</v>
      </c>
      <c r="L46" s="40" t="s">
        <v>56</v>
      </c>
      <c r="M46" s="40" t="s">
        <v>57</v>
      </c>
      <c r="N46" s="41">
        <v>1</v>
      </c>
      <c r="O46" s="58">
        <v>483</v>
      </c>
      <c r="P46" s="58">
        <v>149.70959999999999</v>
      </c>
      <c r="Q46" s="41" t="str">
        <f t="shared" si="11"/>
        <v>OK</v>
      </c>
      <c r="R46" s="40" t="s">
        <v>58</v>
      </c>
      <c r="S46" s="40">
        <v>12</v>
      </c>
      <c r="T46" s="76">
        <v>520.95116273095857</v>
      </c>
      <c r="U46" s="76">
        <v>149.70959999999999</v>
      </c>
      <c r="V46" s="41" t="str">
        <f t="shared" si="12"/>
        <v>OK</v>
      </c>
      <c r="W46" s="30"/>
      <c r="X46" s="30"/>
      <c r="Y46" s="30"/>
      <c r="Z46" s="30"/>
      <c r="AA46" s="44"/>
      <c r="AB46" s="20"/>
      <c r="AC46" s="20"/>
    </row>
    <row r="47" spans="3:51">
      <c r="C47" s="277" t="s">
        <v>59</v>
      </c>
      <c r="D47" s="278"/>
      <c r="E47" s="278"/>
      <c r="F47" s="278"/>
      <c r="G47" s="278"/>
      <c r="H47" s="278"/>
      <c r="I47" s="278"/>
      <c r="J47" s="278"/>
      <c r="K47" s="278"/>
      <c r="L47" s="278"/>
      <c r="M47" s="278"/>
      <c r="N47" s="278"/>
      <c r="O47" s="278"/>
      <c r="P47" s="278"/>
      <c r="Q47" s="278"/>
      <c r="R47" s="278"/>
      <c r="S47" s="278"/>
      <c r="T47" s="278"/>
      <c r="U47" s="278"/>
      <c r="V47" s="279"/>
      <c r="W47" s="30"/>
      <c r="X47" s="30"/>
      <c r="Y47" s="30"/>
      <c r="Z47" s="30"/>
      <c r="AA47" s="44"/>
      <c r="AB47" s="20"/>
      <c r="AC47" s="20"/>
    </row>
    <row r="48" spans="3:51">
      <c r="C48" s="272" t="s">
        <v>34</v>
      </c>
      <c r="D48" s="273"/>
      <c r="E48" s="273"/>
      <c r="F48" s="273"/>
      <c r="G48" s="273"/>
      <c r="H48" s="273"/>
      <c r="I48" s="274" t="s">
        <v>35</v>
      </c>
      <c r="J48" s="274"/>
      <c r="K48" s="49"/>
      <c r="L48" s="275" t="s">
        <v>36</v>
      </c>
      <c r="M48" s="275"/>
      <c r="N48" s="275"/>
      <c r="O48" s="275"/>
      <c r="P48" s="275"/>
      <c r="Q48" s="275"/>
      <c r="R48" s="22" t="s">
        <v>37</v>
      </c>
      <c r="S48" s="22"/>
      <c r="T48" s="22"/>
      <c r="U48" s="22"/>
      <c r="V48" s="22"/>
      <c r="W48" s="20"/>
      <c r="X48" s="20"/>
    </row>
    <row r="49" spans="3:28" ht="38.25">
      <c r="C49" s="183" t="s">
        <v>38</v>
      </c>
      <c r="D49" s="126" t="s">
        <v>39</v>
      </c>
      <c r="E49" s="126" t="s">
        <v>40</v>
      </c>
      <c r="F49" s="126" t="s">
        <v>41</v>
      </c>
      <c r="G49" s="126" t="s">
        <v>42</v>
      </c>
      <c r="H49" s="126" t="s">
        <v>43</v>
      </c>
      <c r="I49" s="134" t="s">
        <v>44</v>
      </c>
      <c r="J49" s="1" t="s">
        <v>45</v>
      </c>
      <c r="K49" s="127" t="s">
        <v>46</v>
      </c>
      <c r="L49" s="87" t="s">
        <v>47</v>
      </c>
      <c r="M49" s="87" t="s">
        <v>48</v>
      </c>
      <c r="N49" s="87" t="s">
        <v>49</v>
      </c>
      <c r="O49" s="87" t="s">
        <v>50</v>
      </c>
      <c r="P49" s="87" t="s">
        <v>222</v>
      </c>
      <c r="Q49" s="87" t="s">
        <v>46</v>
      </c>
      <c r="R49" s="87" t="s">
        <v>51</v>
      </c>
      <c r="S49" s="87" t="s">
        <v>49</v>
      </c>
      <c r="T49" s="87" t="s">
        <v>53</v>
      </c>
      <c r="U49" s="87" t="s">
        <v>224</v>
      </c>
      <c r="V49" s="87" t="s">
        <v>46</v>
      </c>
      <c r="W49" s="20"/>
      <c r="X49" s="20"/>
    </row>
    <row r="50" spans="3:28">
      <c r="C50" s="204" t="s">
        <v>54</v>
      </c>
      <c r="D50" s="93">
        <v>12.5</v>
      </c>
      <c r="E50" s="93" t="s">
        <v>436</v>
      </c>
      <c r="F50" s="93">
        <v>64</v>
      </c>
      <c r="G50" s="93">
        <v>3.66</v>
      </c>
      <c r="H50" s="93">
        <v>150</v>
      </c>
      <c r="I50" s="94">
        <v>6.29</v>
      </c>
      <c r="J50" s="80">
        <f>I50/F27</f>
        <v>2.4192307692307691</v>
      </c>
      <c r="K50" s="93" t="str">
        <f>IF(J50&gt;1,"OK","NOT OK")</f>
        <v>OK</v>
      </c>
      <c r="L50" s="93" t="s">
        <v>56</v>
      </c>
      <c r="M50" s="93" t="s">
        <v>57</v>
      </c>
      <c r="N50" s="93">
        <v>1</v>
      </c>
      <c r="O50" s="94">
        <v>483</v>
      </c>
      <c r="P50" s="94">
        <v>10.701600000000001</v>
      </c>
      <c r="Q50" s="94" t="str">
        <f>IF(O50&gt;P50,"OK","NOT OK")</f>
        <v>OK</v>
      </c>
      <c r="R50" s="93" t="s">
        <v>58</v>
      </c>
      <c r="S50" s="93">
        <v>8</v>
      </c>
      <c r="T50" s="95">
        <v>156.68038790179097</v>
      </c>
      <c r="U50" s="95">
        <v>10.701600000000001</v>
      </c>
      <c r="V50" s="94" t="str">
        <f>IF(T50&gt;U50,"OK","NOT OK")</f>
        <v>OK</v>
      </c>
    </row>
    <row r="51" spans="3:28">
      <c r="C51" s="189" t="s">
        <v>54</v>
      </c>
      <c r="D51" s="233">
        <v>12.5</v>
      </c>
      <c r="E51" s="233" t="s">
        <v>436</v>
      </c>
      <c r="F51" s="233">
        <v>64</v>
      </c>
      <c r="G51" s="233">
        <v>3.66</v>
      </c>
      <c r="H51" s="233">
        <v>125</v>
      </c>
      <c r="I51" s="234">
        <v>7.55</v>
      </c>
      <c r="J51" s="235">
        <f t="shared" ref="J51:J55" si="13">I51/F28</f>
        <v>1.7976190476190474</v>
      </c>
      <c r="K51" s="233" t="str">
        <f t="shared" ref="K51:K55" si="14">IF(J51&gt;1,"OK","NOT OK")</f>
        <v>OK</v>
      </c>
      <c r="L51" s="233" t="s">
        <v>56</v>
      </c>
      <c r="M51" s="233" t="s">
        <v>57</v>
      </c>
      <c r="N51" s="233">
        <v>1</v>
      </c>
      <c r="O51" s="234">
        <v>483</v>
      </c>
      <c r="P51" s="234">
        <v>26.829600000000003</v>
      </c>
      <c r="Q51" s="234" t="str">
        <f t="shared" ref="Q51:Q55" si="15">IF(O51&gt;P51,"OK","NOT OK")</f>
        <v>OK</v>
      </c>
      <c r="R51" s="233" t="s">
        <v>58</v>
      </c>
      <c r="S51" s="233">
        <v>8</v>
      </c>
      <c r="T51" s="236">
        <v>173.65038757698619</v>
      </c>
      <c r="U51" s="236">
        <v>26.829600000000003</v>
      </c>
      <c r="V51" s="234" t="str">
        <f t="shared" ref="V51:V55" si="16">IF(T51&gt;U51,"OK","NOT OK")</f>
        <v>OK</v>
      </c>
    </row>
    <row r="52" spans="3:28" ht="15">
      <c r="C52" s="189" t="s">
        <v>54</v>
      </c>
      <c r="D52" s="233">
        <v>12.5</v>
      </c>
      <c r="E52" s="233" t="s">
        <v>436</v>
      </c>
      <c r="F52" s="233">
        <v>64</v>
      </c>
      <c r="G52" s="233">
        <v>3.66</v>
      </c>
      <c r="H52" s="233">
        <v>75</v>
      </c>
      <c r="I52" s="234">
        <v>12.58</v>
      </c>
      <c r="J52" s="235">
        <f t="shared" si="13"/>
        <v>2.1689655172413795</v>
      </c>
      <c r="K52" s="233" t="str">
        <f t="shared" si="14"/>
        <v>OK</v>
      </c>
      <c r="L52" s="233" t="s">
        <v>56</v>
      </c>
      <c r="M52" s="233" t="s">
        <v>57</v>
      </c>
      <c r="N52" s="233">
        <v>1</v>
      </c>
      <c r="O52" s="234">
        <v>483</v>
      </c>
      <c r="P52" s="234">
        <v>49.101599999999998</v>
      </c>
      <c r="Q52" s="234" t="str">
        <f t="shared" si="15"/>
        <v>OK</v>
      </c>
      <c r="R52" s="233" t="s">
        <v>58</v>
      </c>
      <c r="S52" s="233">
        <v>12</v>
      </c>
      <c r="T52" s="236">
        <v>260.47558136547929</v>
      </c>
      <c r="U52" s="236">
        <v>49.101599999999998</v>
      </c>
      <c r="V52" s="234" t="str">
        <f t="shared" si="16"/>
        <v>OK</v>
      </c>
      <c r="AB52"/>
    </row>
    <row r="53" spans="3:28">
      <c r="C53" s="189" t="s">
        <v>54</v>
      </c>
      <c r="D53" s="233">
        <v>12.5</v>
      </c>
      <c r="E53" s="233" t="s">
        <v>436</v>
      </c>
      <c r="F53" s="233">
        <v>64</v>
      </c>
      <c r="G53" s="233">
        <v>3.66</v>
      </c>
      <c r="H53" s="233">
        <v>50</v>
      </c>
      <c r="I53" s="234">
        <v>18.87</v>
      </c>
      <c r="J53" s="235">
        <f t="shared" si="13"/>
        <v>2.5849315068493151</v>
      </c>
      <c r="K53" s="233" t="str">
        <f t="shared" si="14"/>
        <v>OK</v>
      </c>
      <c r="L53" s="233" t="s">
        <v>56</v>
      </c>
      <c r="M53" s="233" t="s">
        <v>57</v>
      </c>
      <c r="N53" s="233">
        <v>1</v>
      </c>
      <c r="O53" s="234">
        <v>483</v>
      </c>
      <c r="P53" s="234">
        <v>77.133600000000001</v>
      </c>
      <c r="Q53" s="234" t="str">
        <f t="shared" si="15"/>
        <v>OK</v>
      </c>
      <c r="R53" s="233" t="s">
        <v>58</v>
      </c>
      <c r="S53" s="233">
        <v>16</v>
      </c>
      <c r="T53" s="236">
        <v>347.30077515397238</v>
      </c>
      <c r="U53" s="236">
        <v>77.133600000000001</v>
      </c>
      <c r="V53" s="234" t="str">
        <f t="shared" si="16"/>
        <v>OK</v>
      </c>
    </row>
    <row r="54" spans="3:28">
      <c r="C54" s="189" t="s">
        <v>54</v>
      </c>
      <c r="D54" s="233">
        <v>12.5</v>
      </c>
      <c r="E54" s="233" t="s">
        <v>436</v>
      </c>
      <c r="F54" s="233">
        <v>64</v>
      </c>
      <c r="G54" s="233">
        <v>3.66</v>
      </c>
      <c r="H54" s="233">
        <v>50</v>
      </c>
      <c r="I54" s="234">
        <v>18.87</v>
      </c>
      <c r="J54" s="235">
        <f t="shared" si="13"/>
        <v>2.0966666666666667</v>
      </c>
      <c r="K54" s="233" t="str">
        <f t="shared" si="14"/>
        <v>OK</v>
      </c>
      <c r="L54" s="233" t="s">
        <v>56</v>
      </c>
      <c r="M54" s="233" t="s">
        <v>57</v>
      </c>
      <c r="N54" s="233">
        <v>1</v>
      </c>
      <c r="O54" s="234">
        <v>483</v>
      </c>
      <c r="P54" s="234">
        <v>111.6936</v>
      </c>
      <c r="Q54" s="234" t="str">
        <f t="shared" si="15"/>
        <v>OK</v>
      </c>
      <c r="R54" s="233" t="s">
        <v>58</v>
      </c>
      <c r="S54" s="233">
        <v>20</v>
      </c>
      <c r="T54" s="236">
        <v>434.12596894246542</v>
      </c>
      <c r="U54" s="236">
        <v>111.6936</v>
      </c>
      <c r="V54" s="234" t="str">
        <f t="shared" si="16"/>
        <v>OK</v>
      </c>
    </row>
    <row r="55" spans="3:28">
      <c r="C55" s="190" t="s">
        <v>54</v>
      </c>
      <c r="D55" s="45">
        <v>12.5</v>
      </c>
      <c r="E55" s="45" t="s">
        <v>436</v>
      </c>
      <c r="F55" s="45">
        <v>64</v>
      </c>
      <c r="G55" s="45">
        <v>3.66</v>
      </c>
      <c r="H55" s="45">
        <v>50</v>
      </c>
      <c r="I55" s="46">
        <v>18.87</v>
      </c>
      <c r="J55" s="81">
        <f t="shared" si="13"/>
        <v>1.906060606060606</v>
      </c>
      <c r="K55" s="45" t="str">
        <f t="shared" si="14"/>
        <v>OK</v>
      </c>
      <c r="L55" s="45" t="s">
        <v>56</v>
      </c>
      <c r="M55" s="45" t="s">
        <v>57</v>
      </c>
      <c r="N55" s="45">
        <v>1</v>
      </c>
      <c r="O55" s="46">
        <v>483</v>
      </c>
      <c r="P55" s="46">
        <v>149.70959999999999</v>
      </c>
      <c r="Q55" s="46" t="str">
        <f t="shared" si="15"/>
        <v>OK</v>
      </c>
      <c r="R55" s="45" t="s">
        <v>58</v>
      </c>
      <c r="S55" s="45">
        <v>24</v>
      </c>
      <c r="T55" s="78">
        <v>520.95116273095857</v>
      </c>
      <c r="U55" s="78">
        <v>149.70959999999999</v>
      </c>
      <c r="V55" s="46" t="str">
        <f t="shared" si="16"/>
        <v>OK</v>
      </c>
    </row>
    <row r="56" spans="3:28">
      <c r="C56" s="280" t="s">
        <v>60</v>
      </c>
      <c r="D56" s="281"/>
      <c r="E56" s="281"/>
      <c r="F56" s="281"/>
      <c r="G56" s="281"/>
      <c r="H56" s="281"/>
      <c r="I56" s="281"/>
      <c r="J56" s="281"/>
      <c r="K56" s="281"/>
      <c r="L56" s="281"/>
      <c r="M56" s="281"/>
      <c r="N56" s="281"/>
      <c r="O56" s="281"/>
      <c r="P56" s="281"/>
      <c r="Q56" s="281"/>
      <c r="R56" s="281"/>
      <c r="S56" s="281"/>
      <c r="T56" s="281"/>
      <c r="U56" s="281"/>
      <c r="V56" s="282"/>
    </row>
    <row r="57" spans="3:28">
      <c r="C57" s="272" t="s">
        <v>34</v>
      </c>
      <c r="D57" s="273"/>
      <c r="E57" s="273"/>
      <c r="F57" s="273"/>
      <c r="G57" s="273"/>
      <c r="H57" s="273"/>
      <c r="I57" s="274" t="s">
        <v>35</v>
      </c>
      <c r="J57" s="274"/>
      <c r="K57" s="49"/>
      <c r="L57" s="275" t="s">
        <v>36</v>
      </c>
      <c r="M57" s="275"/>
      <c r="N57" s="275"/>
      <c r="O57" s="275"/>
      <c r="P57" s="275"/>
      <c r="Q57" s="275"/>
      <c r="R57" s="22" t="s">
        <v>37</v>
      </c>
      <c r="S57" s="22"/>
      <c r="T57" s="22"/>
      <c r="U57" s="22"/>
      <c r="V57" s="22"/>
    </row>
    <row r="58" spans="3:28" ht="38.25">
      <c r="C58" s="183" t="s">
        <v>38</v>
      </c>
      <c r="D58" s="126" t="s">
        <v>39</v>
      </c>
      <c r="E58" s="126" t="s">
        <v>40</v>
      </c>
      <c r="F58" s="126" t="s">
        <v>41</v>
      </c>
      <c r="G58" s="126" t="s">
        <v>42</v>
      </c>
      <c r="H58" s="126" t="s">
        <v>43</v>
      </c>
      <c r="I58" s="134" t="s">
        <v>44</v>
      </c>
      <c r="J58" s="1" t="s">
        <v>45</v>
      </c>
      <c r="K58" s="127" t="s">
        <v>46</v>
      </c>
      <c r="L58" s="87" t="s">
        <v>47</v>
      </c>
      <c r="M58" s="87" t="s">
        <v>48</v>
      </c>
      <c r="N58" s="87" t="s">
        <v>49</v>
      </c>
      <c r="O58" s="87" t="s">
        <v>50</v>
      </c>
      <c r="P58" s="87" t="s">
        <v>222</v>
      </c>
      <c r="Q58" s="87" t="s">
        <v>46</v>
      </c>
      <c r="R58" s="87" t="s">
        <v>51</v>
      </c>
      <c r="S58" s="87" t="s">
        <v>49</v>
      </c>
      <c r="T58" s="87" t="s">
        <v>53</v>
      </c>
      <c r="U58" s="87" t="s">
        <v>224</v>
      </c>
      <c r="V58" s="87" t="s">
        <v>46</v>
      </c>
    </row>
    <row r="59" spans="3:28">
      <c r="C59" s="207" t="s">
        <v>54</v>
      </c>
      <c r="D59" s="208">
        <v>12.5</v>
      </c>
      <c r="E59" s="208" t="s">
        <v>436</v>
      </c>
      <c r="F59" s="208">
        <v>64</v>
      </c>
      <c r="G59" s="208">
        <v>3.66</v>
      </c>
      <c r="H59" s="208">
        <v>150</v>
      </c>
      <c r="I59" s="209">
        <v>6.29</v>
      </c>
      <c r="J59" s="210">
        <v>1.258</v>
      </c>
      <c r="K59" s="208" t="s">
        <v>425</v>
      </c>
      <c r="L59" s="208" t="s">
        <v>56</v>
      </c>
      <c r="M59" s="208" t="s">
        <v>57</v>
      </c>
      <c r="N59" s="208">
        <v>1</v>
      </c>
      <c r="O59" s="209">
        <v>483</v>
      </c>
      <c r="P59" s="209">
        <v>20.37</v>
      </c>
      <c r="Q59" s="209" t="s">
        <v>425</v>
      </c>
      <c r="R59" s="208" t="s">
        <v>58</v>
      </c>
      <c r="S59" s="208">
        <v>8</v>
      </c>
      <c r="T59" s="211">
        <v>156.68038790179097</v>
      </c>
      <c r="U59" s="211">
        <v>31.799600000000002</v>
      </c>
      <c r="V59" s="209" t="s">
        <v>425</v>
      </c>
    </row>
    <row r="60" spans="3:28">
      <c r="C60" s="212" t="s">
        <v>54</v>
      </c>
      <c r="D60" s="213">
        <v>12.5</v>
      </c>
      <c r="E60" s="213" t="s">
        <v>436</v>
      </c>
      <c r="F60" s="213">
        <v>64</v>
      </c>
      <c r="G60" s="213">
        <v>3.66</v>
      </c>
      <c r="H60" s="213">
        <v>125</v>
      </c>
      <c r="I60" s="214">
        <v>7.55</v>
      </c>
      <c r="J60" s="215">
        <v>0.93476190476190479</v>
      </c>
      <c r="K60" s="213" t="s">
        <v>438</v>
      </c>
      <c r="L60" s="213" t="s">
        <v>56</v>
      </c>
      <c r="M60" s="213" t="s">
        <v>57</v>
      </c>
      <c r="N60" s="213">
        <v>1</v>
      </c>
      <c r="O60" s="214">
        <v>483</v>
      </c>
      <c r="P60" s="214">
        <v>47.09061538461539</v>
      </c>
      <c r="Q60" s="214" t="s">
        <v>425</v>
      </c>
      <c r="R60" s="213" t="s">
        <v>58</v>
      </c>
      <c r="S60" s="213">
        <v>8</v>
      </c>
      <c r="T60" s="216">
        <v>173.65038757698619</v>
      </c>
      <c r="U60" s="216">
        <v>80.906215384615393</v>
      </c>
      <c r="V60" s="214" t="s">
        <v>425</v>
      </c>
    </row>
    <row r="61" spans="3:28">
      <c r="C61" s="212" t="s">
        <v>54</v>
      </c>
      <c r="D61" s="213">
        <v>12.5</v>
      </c>
      <c r="E61" s="213" t="s">
        <v>436</v>
      </c>
      <c r="F61" s="213">
        <v>64</v>
      </c>
      <c r="G61" s="213">
        <v>3.66</v>
      </c>
      <c r="H61" s="213">
        <v>75</v>
      </c>
      <c r="I61" s="214">
        <v>12.58</v>
      </c>
      <c r="J61" s="215">
        <v>1.1278620689655172</v>
      </c>
      <c r="K61" s="213" t="s">
        <v>425</v>
      </c>
      <c r="L61" s="213" t="s">
        <v>56</v>
      </c>
      <c r="M61" s="213" t="s">
        <v>57</v>
      </c>
      <c r="N61" s="213">
        <v>1</v>
      </c>
      <c r="O61" s="214">
        <v>483</v>
      </c>
      <c r="P61" s="214">
        <v>87.595846153846139</v>
      </c>
      <c r="Q61" s="214" t="s">
        <v>425</v>
      </c>
      <c r="R61" s="213" t="s">
        <v>58</v>
      </c>
      <c r="S61" s="213">
        <v>12</v>
      </c>
      <c r="T61" s="216">
        <v>260.47558136547929</v>
      </c>
      <c r="U61" s="216">
        <v>143.79744615384615</v>
      </c>
      <c r="V61" s="214" t="s">
        <v>425</v>
      </c>
    </row>
    <row r="62" spans="3:28">
      <c r="C62" s="212" t="s">
        <v>54</v>
      </c>
      <c r="D62" s="213">
        <v>12.5</v>
      </c>
      <c r="E62" s="213" t="s">
        <v>436</v>
      </c>
      <c r="F62" s="213">
        <v>64</v>
      </c>
      <c r="G62" s="213">
        <v>3.66</v>
      </c>
      <c r="H62" s="213">
        <v>50</v>
      </c>
      <c r="I62" s="214">
        <v>18.87</v>
      </c>
      <c r="J62" s="215">
        <v>1.3441643835616439</v>
      </c>
      <c r="K62" s="213" t="s">
        <v>425</v>
      </c>
      <c r="L62" s="213" t="s">
        <v>56</v>
      </c>
      <c r="M62" s="213" t="s">
        <v>57</v>
      </c>
      <c r="N62" s="213">
        <v>1</v>
      </c>
      <c r="O62" s="214">
        <v>483</v>
      </c>
      <c r="P62" s="214">
        <v>141.02415384615384</v>
      </c>
      <c r="Q62" s="214" t="s">
        <v>425</v>
      </c>
      <c r="R62" s="213" t="s">
        <v>58</v>
      </c>
      <c r="S62" s="213">
        <v>16</v>
      </c>
      <c r="T62" s="216">
        <v>347.30077515397238</v>
      </c>
      <c r="U62" s="216">
        <v>219.61175384615385</v>
      </c>
      <c r="V62" s="214" t="s">
        <v>425</v>
      </c>
    </row>
    <row r="63" spans="3:28">
      <c r="C63" s="212" t="s">
        <v>54</v>
      </c>
      <c r="D63" s="213">
        <v>12.5</v>
      </c>
      <c r="E63" s="213" t="s">
        <v>436</v>
      </c>
      <c r="F63" s="213">
        <v>64</v>
      </c>
      <c r="G63" s="213">
        <v>3.66</v>
      </c>
      <c r="H63" s="213">
        <v>50</v>
      </c>
      <c r="I63" s="214">
        <v>18.87</v>
      </c>
      <c r="J63" s="215">
        <v>1.0902666666666667</v>
      </c>
      <c r="K63" s="213" t="s">
        <v>425</v>
      </c>
      <c r="L63" s="213" t="s">
        <v>56</v>
      </c>
      <c r="M63" s="213" t="s">
        <v>57</v>
      </c>
      <c r="N63" s="213">
        <v>1</v>
      </c>
      <c r="O63" s="214">
        <v>483</v>
      </c>
      <c r="P63" s="214">
        <v>209.09861538461536</v>
      </c>
      <c r="Q63" s="214" t="s">
        <v>425</v>
      </c>
      <c r="R63" s="213" t="s">
        <v>58</v>
      </c>
      <c r="S63" s="213">
        <v>20</v>
      </c>
      <c r="T63" s="216">
        <v>434.12596894246542</v>
      </c>
      <c r="U63" s="216">
        <v>310.07221538461539</v>
      </c>
      <c r="V63" s="214" t="s">
        <v>425</v>
      </c>
    </row>
    <row r="64" spans="3:28">
      <c r="C64" s="217" t="s">
        <v>54</v>
      </c>
      <c r="D64" s="218">
        <v>12.5</v>
      </c>
      <c r="E64" s="218" t="s">
        <v>436</v>
      </c>
      <c r="F64" s="218">
        <v>64</v>
      </c>
      <c r="G64" s="218">
        <v>3.66</v>
      </c>
      <c r="H64" s="218">
        <v>50</v>
      </c>
      <c r="I64" s="219">
        <v>18.87</v>
      </c>
      <c r="J64" s="220">
        <v>0.99115151515151534</v>
      </c>
      <c r="K64" s="218" t="s">
        <v>438</v>
      </c>
      <c r="L64" s="218" t="s">
        <v>56</v>
      </c>
      <c r="M64" s="218" t="s">
        <v>57</v>
      </c>
      <c r="N64" s="218">
        <v>1</v>
      </c>
      <c r="O64" s="219">
        <v>483</v>
      </c>
      <c r="P64" s="219">
        <v>284.926923076923</v>
      </c>
      <c r="Q64" s="219" t="s">
        <v>425</v>
      </c>
      <c r="R64" s="218" t="s">
        <v>58</v>
      </c>
      <c r="S64" s="218">
        <v>24</v>
      </c>
      <c r="T64" s="221">
        <v>520.95116273095857</v>
      </c>
      <c r="U64" s="221">
        <v>408.286523076923</v>
      </c>
      <c r="V64" s="219" t="s">
        <v>425</v>
      </c>
    </row>
    <row r="65" spans="3:27"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8"/>
      <c r="S65" s="48"/>
      <c r="T65" s="48"/>
      <c r="U65" s="48"/>
      <c r="V65" s="48"/>
    </row>
    <row r="66" spans="3:27"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8"/>
      <c r="S66" s="48"/>
      <c r="T66" s="48"/>
      <c r="U66" s="48"/>
      <c r="V66" s="48"/>
    </row>
    <row r="67" spans="3:27" ht="15" customHeight="1">
      <c r="C67" s="265" t="s">
        <v>21</v>
      </c>
      <c r="D67" s="283" t="s">
        <v>61</v>
      </c>
      <c r="E67" s="285" t="s">
        <v>62</v>
      </c>
      <c r="F67" s="285"/>
      <c r="G67" s="285"/>
      <c r="H67" s="276" t="s">
        <v>63</v>
      </c>
      <c r="I67" s="276"/>
      <c r="J67" s="276"/>
      <c r="K67" s="285" t="s">
        <v>64</v>
      </c>
      <c r="L67" s="285"/>
      <c r="M67" s="285"/>
      <c r="N67" s="276" t="s">
        <v>65</v>
      </c>
      <c r="O67" s="276"/>
      <c r="P67" s="276"/>
      <c r="Q67" s="47"/>
      <c r="R67" s="48"/>
      <c r="S67" s="48"/>
      <c r="T67" s="48"/>
      <c r="U67" s="48"/>
      <c r="V67" s="48"/>
    </row>
    <row r="68" spans="3:27">
      <c r="C68" s="266"/>
      <c r="D68" s="284"/>
      <c r="E68" s="191" t="s">
        <v>47</v>
      </c>
      <c r="F68" s="191" t="s">
        <v>66</v>
      </c>
      <c r="G68" s="191" t="s">
        <v>67</v>
      </c>
      <c r="H68" s="192" t="s">
        <v>68</v>
      </c>
      <c r="I68" s="192" t="s">
        <v>66</v>
      </c>
      <c r="J68" s="192" t="s">
        <v>67</v>
      </c>
      <c r="K68" s="191" t="s">
        <v>68</v>
      </c>
      <c r="L68" s="191" t="s">
        <v>66</v>
      </c>
      <c r="M68" s="191" t="s">
        <v>67</v>
      </c>
      <c r="N68" s="192" t="s">
        <v>69</v>
      </c>
      <c r="O68" s="192" t="s">
        <v>66</v>
      </c>
      <c r="P68" s="192" t="s">
        <v>67</v>
      </c>
      <c r="Q68" s="47"/>
      <c r="R68" s="48"/>
      <c r="S68" s="48"/>
      <c r="T68" s="48"/>
      <c r="U68" s="48"/>
      <c r="V68" s="48"/>
    </row>
    <row r="69" spans="3:27">
      <c r="C69" s="3" t="s">
        <v>32</v>
      </c>
      <c r="D69" s="96">
        <v>2.6</v>
      </c>
      <c r="E69" s="14" t="s">
        <v>70</v>
      </c>
      <c r="F69" s="97">
        <v>3</v>
      </c>
      <c r="G69" s="97">
        <v>1153.8461538461538</v>
      </c>
      <c r="H69" s="98"/>
      <c r="I69" s="98"/>
      <c r="J69" s="98"/>
      <c r="K69" s="91"/>
      <c r="L69" s="91"/>
      <c r="M69" s="91"/>
      <c r="N69" s="98"/>
      <c r="O69" s="98"/>
      <c r="P69" s="98"/>
      <c r="Q69" s="47"/>
      <c r="R69" s="48"/>
      <c r="S69" s="48"/>
      <c r="T69" s="48"/>
      <c r="U69" s="48"/>
      <c r="V69" s="48"/>
    </row>
    <row r="70" spans="3:27">
      <c r="C70" s="20">
        <v>5</v>
      </c>
      <c r="D70" s="237">
        <v>4.2</v>
      </c>
      <c r="E70" s="227" t="s">
        <v>70</v>
      </c>
      <c r="F70" s="238">
        <v>3</v>
      </c>
      <c r="G70" s="238">
        <v>714.28571428571433</v>
      </c>
      <c r="H70" s="143"/>
      <c r="I70" s="143"/>
      <c r="J70" s="143"/>
      <c r="K70" s="231"/>
      <c r="L70" s="231"/>
      <c r="M70" s="231"/>
      <c r="N70" s="143"/>
      <c r="O70" s="143"/>
      <c r="P70" s="143"/>
      <c r="Q70" s="47"/>
      <c r="R70" s="48"/>
      <c r="S70" s="48"/>
      <c r="T70" s="48"/>
      <c r="U70" s="48"/>
      <c r="V70" s="48"/>
    </row>
    <row r="71" spans="3:27">
      <c r="C71" s="20">
        <v>4</v>
      </c>
      <c r="D71" s="237">
        <v>5.8</v>
      </c>
      <c r="E71" s="227" t="s">
        <v>70</v>
      </c>
      <c r="F71" s="238">
        <v>3</v>
      </c>
      <c r="G71" s="238">
        <v>517.24137931034488</v>
      </c>
      <c r="H71" s="143"/>
      <c r="I71" s="143"/>
      <c r="J71" s="143"/>
      <c r="K71" s="231"/>
      <c r="L71" s="231"/>
      <c r="M71" s="231"/>
      <c r="N71" s="143"/>
      <c r="O71" s="143"/>
      <c r="P71" s="143"/>
      <c r="Q71" s="47"/>
      <c r="R71" s="48"/>
      <c r="S71" s="48"/>
      <c r="T71" s="48"/>
      <c r="U71" s="48"/>
      <c r="V71" s="48"/>
    </row>
    <row r="72" spans="3:27">
      <c r="C72" s="20">
        <v>3</v>
      </c>
      <c r="D72" s="237">
        <v>7.3</v>
      </c>
      <c r="E72" s="227" t="s">
        <v>70</v>
      </c>
      <c r="F72" s="238">
        <v>3</v>
      </c>
      <c r="G72" s="238">
        <v>410.95890410958907</v>
      </c>
      <c r="H72" s="143"/>
      <c r="I72" s="143"/>
      <c r="J72" s="143"/>
      <c r="K72" s="231"/>
      <c r="L72" s="231"/>
      <c r="M72" s="231"/>
      <c r="N72" s="143"/>
      <c r="O72" s="143"/>
      <c r="P72" s="143"/>
      <c r="Q72" s="47"/>
      <c r="R72" s="48"/>
      <c r="S72" s="48"/>
      <c r="T72" s="48"/>
      <c r="U72" s="48"/>
      <c r="V72" s="48"/>
    </row>
    <row r="73" spans="3:27">
      <c r="C73" s="20">
        <v>2</v>
      </c>
      <c r="D73" s="237">
        <v>9</v>
      </c>
      <c r="E73" s="227" t="s">
        <v>70</v>
      </c>
      <c r="F73" s="238">
        <v>3</v>
      </c>
      <c r="G73" s="238">
        <v>333.33333333333331</v>
      </c>
      <c r="H73" s="143"/>
      <c r="I73" s="143"/>
      <c r="J73" s="143"/>
      <c r="K73" s="231"/>
      <c r="L73" s="231"/>
      <c r="M73" s="231"/>
      <c r="N73" s="143"/>
      <c r="O73" s="143"/>
      <c r="P73" s="143"/>
      <c r="Q73" s="47"/>
      <c r="R73" s="48"/>
      <c r="S73" s="48"/>
      <c r="T73" s="48"/>
      <c r="U73" s="48"/>
      <c r="V73" s="48"/>
    </row>
    <row r="74" spans="3:27">
      <c r="C74" s="21">
        <v>1</v>
      </c>
      <c r="D74" s="68">
        <v>9.9</v>
      </c>
      <c r="E74" s="40" t="s">
        <v>70</v>
      </c>
      <c r="F74" s="67">
        <v>3</v>
      </c>
      <c r="G74" s="67">
        <v>303.03030303030306</v>
      </c>
      <c r="H74" s="74"/>
      <c r="I74" s="74"/>
      <c r="J74" s="74"/>
      <c r="K74" s="53"/>
      <c r="L74" s="53"/>
      <c r="M74" s="53"/>
      <c r="N74" s="74"/>
      <c r="O74" s="74"/>
      <c r="P74" s="74"/>
      <c r="Q74" s="47"/>
      <c r="R74" s="48"/>
      <c r="S74" s="48"/>
      <c r="T74" s="48"/>
      <c r="U74" s="48"/>
      <c r="V74" s="48"/>
    </row>
    <row r="75" spans="3:27"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8"/>
      <c r="S75" s="48"/>
      <c r="T75" s="48"/>
      <c r="U75" s="48"/>
      <c r="V75" s="48"/>
    </row>
    <row r="76" spans="3:27"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8"/>
      <c r="S76" s="48"/>
      <c r="T76" s="48"/>
      <c r="U76" s="48"/>
      <c r="V76" s="48"/>
    </row>
    <row r="77" spans="3:27"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8"/>
      <c r="S77" s="48"/>
      <c r="T77" s="48"/>
      <c r="U77" s="48"/>
      <c r="V77" s="48"/>
    </row>
    <row r="78" spans="3:27" ht="15">
      <c r="C78" s="19" t="s">
        <v>71</v>
      </c>
      <c r="D78" s="20"/>
      <c r="E78" s="20"/>
      <c r="F78" s="20"/>
      <c r="G78" s="20"/>
      <c r="H78" s="30"/>
      <c r="I78" s="20"/>
      <c r="J78" s="20"/>
      <c r="K78" s="20"/>
      <c r="L78" s="20"/>
      <c r="M78" s="30"/>
      <c r="N78" s="20"/>
      <c r="O78" s="20"/>
      <c r="P78" s="20"/>
      <c r="Q78" s="20"/>
    </row>
    <row r="79" spans="3:27">
      <c r="C79" s="30"/>
      <c r="D79" s="20"/>
      <c r="E79" s="20"/>
      <c r="F79" s="20"/>
      <c r="G79" s="20"/>
      <c r="H79" s="30"/>
      <c r="I79" s="20"/>
      <c r="J79" s="20"/>
      <c r="K79" s="20"/>
      <c r="L79" s="20"/>
      <c r="M79" s="30"/>
      <c r="N79" s="20"/>
      <c r="O79" s="20"/>
      <c r="P79" s="20"/>
      <c r="Q79" s="20"/>
    </row>
    <row r="80" spans="3:27" ht="25.5">
      <c r="C80" s="263" t="s">
        <v>72</v>
      </c>
      <c r="D80" s="289" t="s">
        <v>73</v>
      </c>
      <c r="E80" s="289"/>
      <c r="F80" s="289"/>
      <c r="G80" s="289" t="s">
        <v>74</v>
      </c>
      <c r="H80" s="289"/>
      <c r="I80" s="289" t="s">
        <v>75</v>
      </c>
      <c r="J80" s="289"/>
      <c r="K80" s="289"/>
      <c r="L80" s="289" t="s">
        <v>76</v>
      </c>
      <c r="M80" s="289"/>
      <c r="N80" s="289"/>
      <c r="O80" s="289"/>
      <c r="P80" s="289" t="s">
        <v>77</v>
      </c>
      <c r="Q80" s="289"/>
      <c r="R80" s="289"/>
      <c r="S80" s="87" t="s">
        <v>78</v>
      </c>
      <c r="T80" s="69"/>
      <c r="U80" s="69"/>
      <c r="V80" s="134" t="s">
        <v>437</v>
      </c>
      <c r="W80" s="69"/>
      <c r="X80" s="38"/>
      <c r="Y80" s="38"/>
      <c r="Z80" s="38"/>
      <c r="AA80" s="38"/>
    </row>
    <row r="81" spans="3:27">
      <c r="C81" s="264"/>
      <c r="D81" s="127" t="s">
        <v>79</v>
      </c>
      <c r="E81" s="127" t="s">
        <v>80</v>
      </c>
      <c r="F81" s="127" t="s">
        <v>81</v>
      </c>
      <c r="G81" s="126" t="s">
        <v>82</v>
      </c>
      <c r="H81" s="126" t="s">
        <v>83</v>
      </c>
      <c r="I81" s="126" t="s">
        <v>84</v>
      </c>
      <c r="J81" s="126" t="s">
        <v>85</v>
      </c>
      <c r="K81" s="126" t="s">
        <v>83</v>
      </c>
      <c r="L81" s="126" t="s">
        <v>86</v>
      </c>
      <c r="M81" s="126" t="s">
        <v>87</v>
      </c>
      <c r="N81" s="126" t="s">
        <v>88</v>
      </c>
      <c r="O81" s="126" t="s">
        <v>89</v>
      </c>
      <c r="P81" s="193" t="s">
        <v>90</v>
      </c>
      <c r="Q81" s="193" t="s">
        <v>91</v>
      </c>
      <c r="R81" s="193" t="s">
        <v>92</v>
      </c>
      <c r="S81" s="127" t="s">
        <v>93</v>
      </c>
      <c r="T81" s="126" t="s">
        <v>94</v>
      </c>
      <c r="U81" s="127" t="s">
        <v>95</v>
      </c>
      <c r="V81" s="127" t="s">
        <v>96</v>
      </c>
      <c r="W81" s="127" t="s">
        <v>423</v>
      </c>
      <c r="X81" s="25"/>
      <c r="Y81" s="134" t="s">
        <v>424</v>
      </c>
      <c r="Z81" s="134" t="s">
        <v>95</v>
      </c>
      <c r="AA81" s="134" t="s">
        <v>423</v>
      </c>
    </row>
    <row r="82" spans="3:27">
      <c r="C82" s="3" t="s">
        <v>32</v>
      </c>
      <c r="D82" s="11">
        <v>0</v>
      </c>
      <c r="E82" s="99">
        <v>1.7557286694315712E+16</v>
      </c>
      <c r="F82" s="9">
        <v>1.9919436684934608E-2</v>
      </c>
      <c r="G82" s="11">
        <v>6900</v>
      </c>
      <c r="H82" s="9">
        <v>1.2924637681159421</v>
      </c>
      <c r="I82" s="9">
        <v>390</v>
      </c>
      <c r="J82" s="9">
        <v>0.14324899280424908</v>
      </c>
      <c r="K82" s="9">
        <v>1.2283601132964359</v>
      </c>
      <c r="L82" s="9">
        <v>5.0999999999999997E-2</v>
      </c>
      <c r="M82" s="9">
        <v>1.016</v>
      </c>
      <c r="N82" s="9">
        <v>0.13385839450800915</v>
      </c>
      <c r="O82" s="9">
        <v>4.5913429316247145E-2</v>
      </c>
      <c r="P82" s="99">
        <v>4.0346950647206464E-4</v>
      </c>
      <c r="Q82" s="99">
        <v>2.1827212696959794E-4</v>
      </c>
      <c r="R82" s="9">
        <v>2.1325738027049028</v>
      </c>
      <c r="S82" s="9">
        <v>4.7192305501184624</v>
      </c>
      <c r="T82" s="11">
        <v>3430</v>
      </c>
      <c r="U82" s="100">
        <v>1.3758689650491143E-3</v>
      </c>
      <c r="V82" s="100">
        <v>2E-3</v>
      </c>
      <c r="W82" s="63" t="str">
        <f>IF(U82&lt;=V82,"OK","NOT OK")</f>
        <v>OK</v>
      </c>
      <c r="X82" s="16"/>
      <c r="Y82" s="8">
        <f>S82*5.1</f>
        <v>24.068075805604156</v>
      </c>
      <c r="Z82" s="194">
        <f>Y82/T82</f>
        <v>7.0169317217504829E-3</v>
      </c>
      <c r="AA82" s="63" t="str">
        <f>IF(V82&gt;Z82,"OK","NOT OK")</f>
        <v>NOT OK</v>
      </c>
    </row>
    <row r="83" spans="3:27">
      <c r="C83" s="20">
        <v>5</v>
      </c>
      <c r="D83" s="142">
        <v>89180000</v>
      </c>
      <c r="E83" s="239">
        <v>1.7557286694315712E+16</v>
      </c>
      <c r="F83" s="63">
        <v>5.2135253922597949E-2</v>
      </c>
      <c r="G83" s="142">
        <v>6900</v>
      </c>
      <c r="H83" s="63">
        <v>1.9478260869565218</v>
      </c>
      <c r="I83" s="63">
        <v>525</v>
      </c>
      <c r="J83" s="63">
        <v>0.25958582275917919</v>
      </c>
      <c r="K83" s="63">
        <v>2.0766865820734335</v>
      </c>
      <c r="L83" s="63">
        <v>5.0999999999999997E-2</v>
      </c>
      <c r="M83" s="63">
        <v>1.016</v>
      </c>
      <c r="N83" s="63">
        <v>0.25873132814645311</v>
      </c>
      <c r="O83" s="63">
        <v>8.2794025006865002E-2</v>
      </c>
      <c r="P83" s="239">
        <v>3.9475838255737021E-4</v>
      </c>
      <c r="Q83" s="239">
        <v>2.0488628751879701E-4</v>
      </c>
      <c r="R83" s="63">
        <v>1.918862944243735</v>
      </c>
      <c r="S83" s="63">
        <v>6.0783048922031533</v>
      </c>
      <c r="T83" s="142">
        <v>3200</v>
      </c>
      <c r="U83" s="65">
        <v>1.8994702788134854E-3</v>
      </c>
      <c r="V83" s="65">
        <v>2E-3</v>
      </c>
      <c r="W83" s="63" t="str">
        <f t="shared" ref="W83:W87" si="17">IF(U83&lt;=V83,"OK","NOT OK")</f>
        <v>OK</v>
      </c>
      <c r="X83" s="16"/>
      <c r="Y83" s="42">
        <f t="shared" ref="Y83:Y87" si="18">S83*5.1</f>
        <v>30.999354950236079</v>
      </c>
      <c r="Z83" s="195">
        <f t="shared" ref="Z83:Z87" si="19">Y83/T83</f>
        <v>9.687298421948775E-3</v>
      </c>
      <c r="AA83" s="63" t="str">
        <f t="shared" ref="AA83:AA87" si="20">IF(V83&gt;Z83,"OK","NOT OK")</f>
        <v>NOT OK</v>
      </c>
    </row>
    <row r="84" spans="3:27">
      <c r="C84" s="20">
        <v>4</v>
      </c>
      <c r="D84" s="240">
        <v>223580000</v>
      </c>
      <c r="E84" s="241">
        <v>2.0683221905185976E+16</v>
      </c>
      <c r="F84" s="242">
        <v>8.5975206126894632E-2</v>
      </c>
      <c r="G84" s="240">
        <v>6900</v>
      </c>
      <c r="H84" s="242">
        <v>2.689855072463768</v>
      </c>
      <c r="I84" s="242">
        <v>435</v>
      </c>
      <c r="J84" s="242">
        <v>0.17821361382895484</v>
      </c>
      <c r="K84" s="242">
        <v>1.4257089106316387</v>
      </c>
      <c r="L84" s="242">
        <v>0.127</v>
      </c>
      <c r="M84" s="242">
        <v>0.432</v>
      </c>
      <c r="N84" s="242">
        <v>0.35550944020921871</v>
      </c>
      <c r="O84" s="242">
        <v>0.11376302086694999</v>
      </c>
      <c r="P84" s="241">
        <v>3.6625648424514336E-4</v>
      </c>
      <c r="Q84" s="241">
        <v>1.790131547041517E-4</v>
      </c>
      <c r="R84" s="63">
        <v>1.7448628446377443</v>
      </c>
      <c r="S84" s="63">
        <v>6.060165054726995</v>
      </c>
      <c r="T84" s="142">
        <v>3200</v>
      </c>
      <c r="U84" s="65">
        <v>1.893801579602186E-3</v>
      </c>
      <c r="V84" s="65">
        <v>2E-3</v>
      </c>
      <c r="W84" s="63" t="str">
        <f t="shared" si="17"/>
        <v>OK</v>
      </c>
      <c r="X84" s="16"/>
      <c r="Y84" s="42">
        <f t="shared" si="18"/>
        <v>30.906841779107673</v>
      </c>
      <c r="Z84" s="195">
        <f t="shared" si="19"/>
        <v>9.6583880559711482E-3</v>
      </c>
      <c r="AA84" s="63" t="str">
        <f t="shared" si="20"/>
        <v>NOT OK</v>
      </c>
    </row>
    <row r="85" spans="3:27">
      <c r="C85" s="20">
        <v>3</v>
      </c>
      <c r="D85" s="240">
        <v>409180000</v>
      </c>
      <c r="E85" s="241">
        <v>2.2697815496147372E+16</v>
      </c>
      <c r="F85" s="242">
        <v>0.12742883856631942</v>
      </c>
      <c r="G85" s="240">
        <v>6900</v>
      </c>
      <c r="H85" s="242">
        <v>3.3855072463768114</v>
      </c>
      <c r="I85" s="242">
        <v>365</v>
      </c>
      <c r="J85" s="242">
        <v>0.12547236730010577</v>
      </c>
      <c r="K85" s="242">
        <v>1.0037789384008462</v>
      </c>
      <c r="L85" s="242">
        <v>0.127</v>
      </c>
      <c r="M85" s="242">
        <v>0.432</v>
      </c>
      <c r="N85" s="242">
        <v>0.41347101327231123</v>
      </c>
      <c r="O85" s="242">
        <v>0.13231072424713961</v>
      </c>
      <c r="P85" s="241">
        <v>3.1730782408760021E-4</v>
      </c>
      <c r="Q85" s="241">
        <v>1.4346221068322983E-4</v>
      </c>
      <c r="R85" s="63">
        <v>1.4744641112666561</v>
      </c>
      <c r="S85" s="63">
        <v>6.1234898588577735</v>
      </c>
      <c r="T85" s="142">
        <v>3200</v>
      </c>
      <c r="U85" s="65">
        <v>1.9135905808930543E-3</v>
      </c>
      <c r="V85" s="65">
        <v>2E-3</v>
      </c>
      <c r="W85" s="63" t="str">
        <f t="shared" si="17"/>
        <v>OK</v>
      </c>
      <c r="X85" s="16"/>
      <c r="Y85" s="42">
        <f t="shared" si="18"/>
        <v>31.229798280174641</v>
      </c>
      <c r="Z85" s="195">
        <f t="shared" si="19"/>
        <v>9.7593119625545757E-3</v>
      </c>
      <c r="AA85" s="63" t="str">
        <f t="shared" si="20"/>
        <v>NOT OK</v>
      </c>
    </row>
    <row r="86" spans="3:27">
      <c r="C86" s="20">
        <v>2</v>
      </c>
      <c r="D86" s="240">
        <v>642780000</v>
      </c>
      <c r="E86" s="241">
        <v>2.4100700554963128E+16</v>
      </c>
      <c r="F86" s="242">
        <v>0.17734229717732533</v>
      </c>
      <c r="G86" s="240">
        <v>6900</v>
      </c>
      <c r="H86" s="242">
        <v>4.1739130434782608</v>
      </c>
      <c r="I86" s="242">
        <v>450</v>
      </c>
      <c r="J86" s="242">
        <v>0.19071611468021329</v>
      </c>
      <c r="K86" s="242">
        <v>1.5257289174417064</v>
      </c>
      <c r="L86" s="242">
        <v>0.127</v>
      </c>
      <c r="M86" s="242">
        <v>0.432</v>
      </c>
      <c r="N86" s="242">
        <v>0.47884031696632889</v>
      </c>
      <c r="O86" s="242">
        <v>0.15322890142922524</v>
      </c>
      <c r="P86" s="241">
        <v>2.4315372761581913E-4</v>
      </c>
      <c r="Q86" s="241">
        <v>1.0211510935599871E-4</v>
      </c>
      <c r="R86" s="63">
        <v>1.1048602783098171</v>
      </c>
      <c r="S86" s="63">
        <v>7.1350734378363354</v>
      </c>
      <c r="T86" s="142">
        <v>3200</v>
      </c>
      <c r="U86" s="65">
        <v>2.2297104493238548E-3</v>
      </c>
      <c r="V86" s="65">
        <v>2E-3</v>
      </c>
      <c r="W86" s="63" t="str">
        <f t="shared" si="17"/>
        <v>NOT OK</v>
      </c>
      <c r="X86" s="16"/>
      <c r="Y86" s="42">
        <f t="shared" si="18"/>
        <v>36.38887453296531</v>
      </c>
      <c r="Z86" s="195">
        <f t="shared" si="19"/>
        <v>1.1371523291551659E-2</v>
      </c>
      <c r="AA86" s="63" t="str">
        <f t="shared" si="20"/>
        <v>NOT OK</v>
      </c>
    </row>
    <row r="87" spans="3:27">
      <c r="C87" s="21">
        <v>1</v>
      </c>
      <c r="D87" s="70">
        <v>930780000</v>
      </c>
      <c r="E87" s="72">
        <v>2.5131047591269388E+16</v>
      </c>
      <c r="F87" s="71">
        <v>0.23265793352885322</v>
      </c>
      <c r="G87" s="70">
        <v>6900</v>
      </c>
      <c r="H87" s="71">
        <v>4.5913043478260871</v>
      </c>
      <c r="I87" s="71">
        <v>495</v>
      </c>
      <c r="J87" s="71">
        <v>0.23076649876305808</v>
      </c>
      <c r="K87" s="71">
        <v>1.8461319901044646</v>
      </c>
      <c r="L87" s="71">
        <v>0.127</v>
      </c>
      <c r="M87" s="71">
        <v>0.432</v>
      </c>
      <c r="N87" s="71">
        <v>0.54231077659365812</v>
      </c>
      <c r="O87" s="71">
        <v>0.17353944850997061</v>
      </c>
      <c r="P87" s="72">
        <v>1.3868805060123445E-4</v>
      </c>
      <c r="Q87" s="72">
        <v>5.4231077659365812E-5</v>
      </c>
      <c r="R87" s="64">
        <v>0.61734121043392087</v>
      </c>
      <c r="S87" s="64">
        <v>7.460974930403296</v>
      </c>
      <c r="T87" s="50">
        <v>3200</v>
      </c>
      <c r="U87" s="73">
        <v>2.3315546657510298E-3</v>
      </c>
      <c r="V87" s="73">
        <v>2E-3</v>
      </c>
      <c r="W87" s="64" t="str">
        <f t="shared" si="17"/>
        <v>NOT OK</v>
      </c>
      <c r="X87" s="16"/>
      <c r="Y87" s="29">
        <f t="shared" si="18"/>
        <v>38.050972145056804</v>
      </c>
      <c r="Z87" s="196">
        <f t="shared" si="19"/>
        <v>1.1890928795330252E-2</v>
      </c>
      <c r="AA87" s="64" t="str">
        <f t="shared" si="20"/>
        <v>NOT OK</v>
      </c>
    </row>
    <row r="88" spans="3:27">
      <c r="P88" s="17"/>
      <c r="T88" s="16"/>
      <c r="U88" s="16"/>
      <c r="V88" s="16"/>
      <c r="W88" s="16"/>
      <c r="X88" s="16"/>
      <c r="Y88" s="20"/>
      <c r="Z88" s="17"/>
      <c r="AA88" s="17"/>
    </row>
    <row r="89" spans="3:27">
      <c r="P89" s="17"/>
    </row>
    <row r="90" spans="3:27" ht="15">
      <c r="C90" s="19" t="s">
        <v>97</v>
      </c>
      <c r="P90" s="17"/>
    </row>
    <row r="91" spans="3:27">
      <c r="P91" s="17"/>
    </row>
    <row r="92" spans="3:27" ht="14.25" customHeight="1">
      <c r="C92" s="263" t="s">
        <v>72</v>
      </c>
      <c r="D92" s="275" t="s">
        <v>36</v>
      </c>
      <c r="E92" s="275"/>
      <c r="F92" s="275"/>
      <c r="G92" s="275"/>
      <c r="H92" s="275"/>
      <c r="I92" s="275"/>
      <c r="J92" s="263" t="s">
        <v>98</v>
      </c>
      <c r="K92" s="263"/>
      <c r="L92" s="263" t="s">
        <v>99</v>
      </c>
      <c r="M92" s="263"/>
      <c r="N92" s="263" t="s">
        <v>100</v>
      </c>
      <c r="O92" s="263"/>
      <c r="P92" s="263"/>
    </row>
    <row r="93" spans="3:27" ht="14.25" customHeight="1">
      <c r="C93" s="264"/>
      <c r="D93" s="87" t="s">
        <v>47</v>
      </c>
      <c r="E93" s="87" t="s">
        <v>48</v>
      </c>
      <c r="F93" s="87"/>
      <c r="G93" s="87" t="s">
        <v>50</v>
      </c>
      <c r="H93" s="87" t="s">
        <v>222</v>
      </c>
      <c r="I93" s="87" t="s">
        <v>46</v>
      </c>
      <c r="J93" s="127" t="s">
        <v>47</v>
      </c>
      <c r="K93" s="127" t="s">
        <v>101</v>
      </c>
      <c r="L93" s="25" t="s">
        <v>47</v>
      </c>
      <c r="M93" s="127" t="s">
        <v>66</v>
      </c>
      <c r="N93" s="127" t="s">
        <v>102</v>
      </c>
      <c r="O93" s="127" t="s">
        <v>87</v>
      </c>
      <c r="P93" s="79" t="s">
        <v>103</v>
      </c>
    </row>
    <row r="94" spans="3:27">
      <c r="C94" s="3" t="s">
        <v>32</v>
      </c>
      <c r="D94" s="3" t="s">
        <v>56</v>
      </c>
      <c r="E94" s="3" t="s">
        <v>57</v>
      </c>
      <c r="F94" s="3">
        <v>1</v>
      </c>
      <c r="G94" s="8">
        <v>483</v>
      </c>
      <c r="H94" s="8">
        <v>10.701600000000001</v>
      </c>
      <c r="I94" s="3" t="str">
        <f>IF(G94&gt;H94,"OK","NOT OK")</f>
        <v>OK</v>
      </c>
      <c r="J94" s="3"/>
      <c r="K94" s="3"/>
      <c r="L94" s="10" t="s">
        <v>104</v>
      </c>
      <c r="M94" s="11">
        <v>83.36</v>
      </c>
      <c r="N94" s="101" t="s">
        <v>105</v>
      </c>
      <c r="O94" s="3">
        <v>5.0999999999999997E-2</v>
      </c>
      <c r="P94" s="20">
        <v>1.016</v>
      </c>
    </row>
    <row r="95" spans="3:27">
      <c r="C95" s="20">
        <v>5</v>
      </c>
      <c r="D95" s="20" t="s">
        <v>56</v>
      </c>
      <c r="E95" s="20" t="s">
        <v>57</v>
      </c>
      <c r="F95" s="20">
        <v>1</v>
      </c>
      <c r="G95" s="42">
        <v>483</v>
      </c>
      <c r="H95" s="42">
        <v>26.829600000000003</v>
      </c>
      <c r="I95" s="20" t="str">
        <f t="shared" ref="I95:I99" si="21">IF(G95&gt;H95,"OK","NOT OK")</f>
        <v>OK</v>
      </c>
      <c r="J95" s="20"/>
      <c r="K95" s="20"/>
      <c r="L95" s="30" t="s">
        <v>106</v>
      </c>
      <c r="M95" s="142">
        <v>61.05</v>
      </c>
      <c r="N95" s="30" t="s">
        <v>105</v>
      </c>
      <c r="O95" s="20">
        <v>5.0999999999999997E-2</v>
      </c>
      <c r="P95" s="20">
        <v>1.016</v>
      </c>
    </row>
    <row r="96" spans="3:27">
      <c r="C96" s="20">
        <v>4</v>
      </c>
      <c r="D96" s="20" t="s">
        <v>56</v>
      </c>
      <c r="E96" s="20" t="s">
        <v>57</v>
      </c>
      <c r="F96" s="20">
        <v>1</v>
      </c>
      <c r="G96" s="42">
        <v>483</v>
      </c>
      <c r="H96" s="42">
        <v>49.101599999999998</v>
      </c>
      <c r="I96" s="20" t="str">
        <f t="shared" si="21"/>
        <v>OK</v>
      </c>
      <c r="J96" s="20"/>
      <c r="K96" s="20"/>
      <c r="L96" s="30" t="s">
        <v>106</v>
      </c>
      <c r="M96" s="142">
        <v>61.05</v>
      </c>
      <c r="N96" s="30" t="s">
        <v>107</v>
      </c>
      <c r="O96" s="20">
        <v>0.127</v>
      </c>
      <c r="P96" s="20">
        <v>0.432</v>
      </c>
    </row>
    <row r="97" spans="3:16">
      <c r="C97" s="20">
        <v>3</v>
      </c>
      <c r="D97" s="20" t="s">
        <v>56</v>
      </c>
      <c r="E97" s="20" t="s">
        <v>57</v>
      </c>
      <c r="F97" s="20">
        <v>1</v>
      </c>
      <c r="G97" s="42">
        <v>483</v>
      </c>
      <c r="H97" s="42">
        <v>77.133600000000001</v>
      </c>
      <c r="I97" s="20" t="str">
        <f t="shared" si="21"/>
        <v>OK</v>
      </c>
      <c r="J97" s="20"/>
      <c r="K97" s="20"/>
      <c r="L97" s="30" t="s">
        <v>106</v>
      </c>
      <c r="M97" s="142">
        <v>61.05</v>
      </c>
      <c r="N97" s="30" t="s">
        <v>107</v>
      </c>
      <c r="O97" s="20">
        <v>0.127</v>
      </c>
      <c r="P97" s="20">
        <v>0.432</v>
      </c>
    </row>
    <row r="98" spans="3:16">
      <c r="C98" s="20">
        <v>2</v>
      </c>
      <c r="D98" s="20" t="s">
        <v>56</v>
      </c>
      <c r="E98" s="20" t="s">
        <v>57</v>
      </c>
      <c r="F98" s="20">
        <v>1</v>
      </c>
      <c r="G98" s="42">
        <v>483</v>
      </c>
      <c r="H98" s="42">
        <v>111.6936</v>
      </c>
      <c r="I98" s="20" t="str">
        <f t="shared" si="21"/>
        <v>OK</v>
      </c>
      <c r="J98" s="20"/>
      <c r="K98" s="20"/>
      <c r="L98" s="30" t="s">
        <v>104</v>
      </c>
      <c r="M98" s="142">
        <v>83.36</v>
      </c>
      <c r="N98" s="30" t="s">
        <v>107</v>
      </c>
      <c r="O98" s="20">
        <v>0.127</v>
      </c>
      <c r="P98" s="20">
        <v>0.432</v>
      </c>
    </row>
    <row r="99" spans="3:16">
      <c r="C99" s="21">
        <v>1</v>
      </c>
      <c r="D99" s="21" t="s">
        <v>56</v>
      </c>
      <c r="E99" s="21" t="s">
        <v>57</v>
      </c>
      <c r="F99" s="21">
        <v>1</v>
      </c>
      <c r="G99" s="29">
        <v>483</v>
      </c>
      <c r="H99" s="29">
        <v>149.70959999999999</v>
      </c>
      <c r="I99" s="21" t="str">
        <f t="shared" si="21"/>
        <v>OK</v>
      </c>
      <c r="J99" s="21"/>
      <c r="K99" s="21"/>
      <c r="L99" s="77" t="s">
        <v>104</v>
      </c>
      <c r="M99" s="50">
        <v>83.36</v>
      </c>
      <c r="N99" s="77" t="s">
        <v>107</v>
      </c>
      <c r="O99" s="21">
        <v>0.127</v>
      </c>
      <c r="P99" s="21">
        <v>0.432</v>
      </c>
    </row>
    <row r="100" spans="3:16">
      <c r="P100" s="17"/>
    </row>
    <row r="101" spans="3:16">
      <c r="P101" s="17"/>
    </row>
    <row r="102" spans="3:16">
      <c r="P102" s="17"/>
    </row>
    <row r="104" spans="3:16" ht="15">
      <c r="C104" s="19" t="s">
        <v>108</v>
      </c>
    </row>
    <row r="107" spans="3:16" s="28" customFormat="1">
      <c r="C107" s="24" t="s">
        <v>109</v>
      </c>
      <c r="D107" s="24"/>
      <c r="E107" s="24" t="s">
        <v>110</v>
      </c>
      <c r="F107" s="24"/>
      <c r="G107" s="24" t="s">
        <v>111</v>
      </c>
      <c r="H107" s="34" t="s">
        <v>112</v>
      </c>
    </row>
    <row r="109" spans="3:16">
      <c r="C109" s="17" t="s">
        <v>113</v>
      </c>
      <c r="D109" s="17"/>
      <c r="E109" s="17"/>
      <c r="F109" s="17"/>
      <c r="G109" s="17"/>
      <c r="H109" s="17"/>
      <c r="I109" s="17"/>
      <c r="J109" s="17"/>
      <c r="K109" s="17"/>
      <c r="L109" s="17"/>
    </row>
    <row r="110" spans="3:16">
      <c r="C110" s="17"/>
      <c r="D110" s="17"/>
      <c r="E110" s="17"/>
      <c r="F110" s="17"/>
      <c r="G110" s="17"/>
      <c r="H110" s="17"/>
      <c r="I110" s="17"/>
      <c r="J110" s="17"/>
      <c r="K110" s="17"/>
      <c r="L110" s="17"/>
    </row>
    <row r="111" spans="3:16">
      <c r="C111" s="17"/>
      <c r="D111" s="17"/>
      <c r="E111" s="17"/>
      <c r="F111" s="17"/>
      <c r="G111" s="17"/>
      <c r="H111" s="17"/>
      <c r="I111" s="17"/>
      <c r="J111" s="17"/>
      <c r="K111" s="17"/>
      <c r="L111" s="17"/>
    </row>
    <row r="112" spans="3:16" ht="15.75">
      <c r="C112" s="17"/>
      <c r="D112" s="17"/>
      <c r="E112" s="17" t="s">
        <v>114</v>
      </c>
      <c r="F112" s="17"/>
      <c r="G112" s="17"/>
      <c r="H112" s="17"/>
      <c r="I112" s="17"/>
      <c r="J112" s="17"/>
      <c r="K112" s="17"/>
      <c r="L112" s="17"/>
    </row>
    <row r="113" spans="3:12">
      <c r="C113" s="17"/>
      <c r="D113" s="17"/>
      <c r="E113" s="17"/>
      <c r="F113" s="17"/>
      <c r="G113" s="17"/>
      <c r="H113" s="17"/>
      <c r="I113" s="17"/>
      <c r="J113" s="17"/>
      <c r="K113" s="17"/>
      <c r="L113" s="17"/>
    </row>
    <row r="114" spans="3:12">
      <c r="C114" s="17"/>
      <c r="D114" s="17"/>
      <c r="E114" s="17"/>
      <c r="F114" s="17"/>
      <c r="G114" s="17"/>
      <c r="H114" s="17"/>
      <c r="I114" s="17"/>
      <c r="J114" s="17"/>
      <c r="K114" s="17"/>
      <c r="L114" s="17"/>
    </row>
    <row r="115" spans="3:12">
      <c r="C115" s="27" t="s">
        <v>115</v>
      </c>
      <c r="D115" s="20" t="s">
        <v>116</v>
      </c>
      <c r="E115" s="17" t="s">
        <v>117</v>
      </c>
      <c r="F115" s="17"/>
      <c r="G115" s="17"/>
      <c r="H115" s="17"/>
      <c r="I115" s="17"/>
      <c r="J115" s="17"/>
      <c r="K115" s="17"/>
      <c r="L115" s="17"/>
    </row>
    <row r="116" spans="3:12" ht="15.75">
      <c r="C116" s="17" t="s">
        <v>118</v>
      </c>
      <c r="D116" s="20" t="s">
        <v>116</v>
      </c>
      <c r="E116" s="17" t="s">
        <v>119</v>
      </c>
      <c r="F116" s="17"/>
      <c r="G116" s="17"/>
      <c r="H116" s="17"/>
      <c r="I116" s="17"/>
      <c r="J116" s="17"/>
      <c r="K116" s="17"/>
      <c r="L116" s="17"/>
    </row>
    <row r="117" spans="3:12" ht="15.75">
      <c r="C117" s="17" t="s">
        <v>120</v>
      </c>
      <c r="D117" s="20" t="s">
        <v>116</v>
      </c>
      <c r="E117" s="17" t="s">
        <v>121</v>
      </c>
      <c r="F117" s="17"/>
      <c r="G117" s="17"/>
      <c r="H117" s="17"/>
      <c r="I117" s="17"/>
      <c r="J117" s="17"/>
      <c r="K117" s="17"/>
      <c r="L117" s="17"/>
    </row>
    <row r="118" spans="3:12">
      <c r="C118" s="17" t="s">
        <v>122</v>
      </c>
      <c r="D118" s="20" t="s">
        <v>116</v>
      </c>
      <c r="E118" s="17" t="s">
        <v>123</v>
      </c>
      <c r="F118" s="17"/>
      <c r="G118" s="17"/>
      <c r="H118" s="17"/>
      <c r="I118" s="17"/>
      <c r="J118" s="17"/>
      <c r="K118" s="17"/>
      <c r="L118" s="17"/>
    </row>
    <row r="119" spans="3:12" ht="15.75">
      <c r="C119" s="17" t="s">
        <v>124</v>
      </c>
      <c r="D119" s="20" t="s">
        <v>116</v>
      </c>
      <c r="E119" s="17" t="s">
        <v>125</v>
      </c>
      <c r="F119" s="17"/>
      <c r="G119" s="17"/>
      <c r="H119" s="17"/>
      <c r="I119" s="17"/>
      <c r="J119" s="17"/>
      <c r="K119" s="17"/>
      <c r="L119" s="17"/>
    </row>
    <row r="120" spans="3:12" ht="15.75">
      <c r="C120" s="17" t="s">
        <v>126</v>
      </c>
      <c r="D120" s="20" t="s">
        <v>116</v>
      </c>
      <c r="E120" s="17" t="s">
        <v>127</v>
      </c>
      <c r="F120" s="17"/>
      <c r="G120" s="17"/>
      <c r="H120" s="17"/>
      <c r="I120" s="17"/>
      <c r="J120" s="17"/>
      <c r="K120" s="17"/>
      <c r="L120" s="17"/>
    </row>
    <row r="121" spans="3:12" ht="15.75">
      <c r="C121" s="17" t="s">
        <v>128</v>
      </c>
      <c r="D121" s="20" t="s">
        <v>116</v>
      </c>
      <c r="E121" s="17" t="s">
        <v>129</v>
      </c>
      <c r="F121" s="17"/>
      <c r="G121" s="17"/>
      <c r="H121" s="17"/>
      <c r="I121" s="17"/>
      <c r="J121" s="17"/>
      <c r="K121" s="17"/>
      <c r="L121" s="17"/>
    </row>
    <row r="122" spans="3:12" ht="15.75">
      <c r="C122" s="17" t="s">
        <v>130</v>
      </c>
      <c r="D122" s="20" t="s">
        <v>116</v>
      </c>
      <c r="E122" s="17" t="s">
        <v>131</v>
      </c>
      <c r="F122" s="17"/>
      <c r="G122" s="17"/>
      <c r="H122" s="17"/>
      <c r="I122" s="17"/>
      <c r="J122" s="17"/>
      <c r="K122" s="17"/>
      <c r="L122" s="17"/>
    </row>
    <row r="123" spans="3:12" ht="15.75">
      <c r="C123" s="17" t="s">
        <v>132</v>
      </c>
      <c r="D123" s="20" t="s">
        <v>116</v>
      </c>
      <c r="E123" s="17" t="s">
        <v>133</v>
      </c>
      <c r="F123" s="17"/>
      <c r="G123" s="17"/>
      <c r="H123" s="17"/>
      <c r="I123" s="17"/>
      <c r="J123" s="17"/>
      <c r="K123" s="17"/>
      <c r="L123" s="17"/>
    </row>
    <row r="124" spans="3:12" ht="15.75">
      <c r="C124" s="17" t="s">
        <v>134</v>
      </c>
      <c r="D124" s="20" t="s">
        <v>116</v>
      </c>
      <c r="E124" s="17" t="s">
        <v>135</v>
      </c>
      <c r="F124" s="17"/>
      <c r="G124" s="17"/>
      <c r="H124" s="17"/>
      <c r="I124" s="17"/>
      <c r="J124" s="17"/>
      <c r="K124" s="17"/>
      <c r="L124" s="17"/>
    </row>
    <row r="125" spans="3:12">
      <c r="C125" s="17"/>
      <c r="D125" s="17"/>
      <c r="E125" s="17"/>
      <c r="F125" s="17"/>
      <c r="G125" s="17"/>
      <c r="H125" s="17"/>
      <c r="I125" s="17"/>
      <c r="J125" s="17"/>
      <c r="K125" s="17"/>
      <c r="L125" s="17"/>
    </row>
    <row r="126" spans="3:12">
      <c r="C126" s="17"/>
      <c r="D126" s="17"/>
      <c r="E126" s="17"/>
      <c r="F126" s="17"/>
      <c r="G126" s="17"/>
      <c r="H126" s="17"/>
      <c r="I126" s="17"/>
      <c r="J126" s="17"/>
      <c r="K126" s="17"/>
      <c r="L126" s="17"/>
    </row>
    <row r="127" spans="3:12">
      <c r="C127" s="17"/>
      <c r="D127" s="17"/>
      <c r="E127" s="17"/>
      <c r="F127" s="17"/>
      <c r="G127" s="17"/>
      <c r="H127" s="17"/>
      <c r="I127" s="17"/>
      <c r="J127" s="17"/>
      <c r="K127" s="17"/>
      <c r="L127" s="17"/>
    </row>
    <row r="128" spans="3:12" ht="25.5">
      <c r="C128" s="87" t="s">
        <v>136</v>
      </c>
      <c r="D128" s="134" t="s">
        <v>137</v>
      </c>
      <c r="E128" s="134" t="s">
        <v>138</v>
      </c>
      <c r="F128" s="197" t="s">
        <v>139</v>
      </c>
      <c r="G128" s="134" t="s">
        <v>140</v>
      </c>
      <c r="H128" s="134" t="s">
        <v>141</v>
      </c>
      <c r="I128" s="134" t="s">
        <v>142</v>
      </c>
      <c r="J128" s="134" t="s">
        <v>143</v>
      </c>
      <c r="K128" s="134" t="s">
        <v>144</v>
      </c>
      <c r="L128" s="134" t="s">
        <v>145</v>
      </c>
    </row>
    <row r="129" spans="3:12">
      <c r="C129" s="2" t="s">
        <v>19</v>
      </c>
      <c r="D129" s="59">
        <v>6.0484253254080604</v>
      </c>
      <c r="E129" s="60">
        <v>907.26379881120909</v>
      </c>
      <c r="F129" s="2">
        <v>150</v>
      </c>
      <c r="G129" s="59">
        <v>1.3</v>
      </c>
      <c r="H129" s="59">
        <v>1</v>
      </c>
      <c r="I129" s="59">
        <v>1</v>
      </c>
      <c r="J129" s="59">
        <v>1</v>
      </c>
      <c r="K129" s="59">
        <v>1</v>
      </c>
      <c r="L129" s="59">
        <v>10</v>
      </c>
    </row>
    <row r="130" spans="3:12">
      <c r="C130" s="243">
        <v>5</v>
      </c>
      <c r="D130" s="244">
        <v>7.2581103904896729</v>
      </c>
      <c r="E130" s="245">
        <v>907.26379881120909</v>
      </c>
      <c r="F130" s="243">
        <v>125</v>
      </c>
      <c r="G130" s="244">
        <v>1.3</v>
      </c>
      <c r="H130" s="244">
        <v>1</v>
      </c>
      <c r="I130" s="244">
        <v>1</v>
      </c>
      <c r="J130" s="244">
        <v>1</v>
      </c>
      <c r="K130" s="244">
        <v>1</v>
      </c>
      <c r="L130" s="244">
        <v>10</v>
      </c>
    </row>
    <row r="131" spans="3:12">
      <c r="C131" s="243">
        <v>4</v>
      </c>
      <c r="D131" s="244">
        <v>12.096850650816121</v>
      </c>
      <c r="E131" s="245">
        <v>907.26379881120909</v>
      </c>
      <c r="F131" s="243">
        <v>75</v>
      </c>
      <c r="G131" s="244">
        <v>1.3</v>
      </c>
      <c r="H131" s="244">
        <v>1</v>
      </c>
      <c r="I131" s="244">
        <v>1</v>
      </c>
      <c r="J131" s="244">
        <v>1</v>
      </c>
      <c r="K131" s="244">
        <v>1</v>
      </c>
      <c r="L131" s="244">
        <v>10</v>
      </c>
    </row>
    <row r="132" spans="3:12">
      <c r="C132" s="243">
        <v>3</v>
      </c>
      <c r="D132" s="244">
        <v>18.14527597622418</v>
      </c>
      <c r="E132" s="245">
        <v>907.26379881120909</v>
      </c>
      <c r="F132" s="243">
        <v>50</v>
      </c>
      <c r="G132" s="244">
        <v>1.3</v>
      </c>
      <c r="H132" s="244">
        <v>1</v>
      </c>
      <c r="I132" s="244">
        <v>1</v>
      </c>
      <c r="J132" s="244">
        <v>1</v>
      </c>
      <c r="K132" s="244">
        <v>1</v>
      </c>
      <c r="L132" s="244">
        <v>10</v>
      </c>
    </row>
    <row r="133" spans="3:12">
      <c r="C133" s="243">
        <v>2</v>
      </c>
      <c r="D133" s="244">
        <v>18.14527597622418</v>
      </c>
      <c r="E133" s="245">
        <v>907.26379881120909</v>
      </c>
      <c r="F133" s="243">
        <v>50</v>
      </c>
      <c r="G133" s="244">
        <v>1.3</v>
      </c>
      <c r="H133" s="244">
        <v>1</v>
      </c>
      <c r="I133" s="244">
        <v>1</v>
      </c>
      <c r="J133" s="244">
        <v>1</v>
      </c>
      <c r="K133" s="244">
        <v>1</v>
      </c>
      <c r="L133" s="244">
        <v>10</v>
      </c>
    </row>
    <row r="134" spans="3:12">
      <c r="C134" s="23">
        <v>1</v>
      </c>
      <c r="D134" s="35">
        <v>18.14527597622418</v>
      </c>
      <c r="E134" s="36">
        <v>907.26379881120909</v>
      </c>
      <c r="F134" s="23">
        <v>50</v>
      </c>
      <c r="G134" s="35">
        <v>1.3</v>
      </c>
      <c r="H134" s="35">
        <v>1</v>
      </c>
      <c r="I134" s="35">
        <v>1</v>
      </c>
      <c r="J134" s="35">
        <v>1</v>
      </c>
      <c r="K134" s="35">
        <v>1</v>
      </c>
      <c r="L134" s="35">
        <v>10</v>
      </c>
    </row>
    <row r="135" spans="3:12">
      <c r="C135" s="17"/>
      <c r="D135" s="17"/>
      <c r="E135" s="17"/>
      <c r="F135" s="17"/>
      <c r="G135" s="17"/>
      <c r="H135" s="17"/>
      <c r="I135" s="17"/>
      <c r="J135" s="17"/>
      <c r="K135" s="17"/>
      <c r="L135" s="17"/>
    </row>
    <row r="136" spans="3:12">
      <c r="C136" s="17"/>
      <c r="D136" s="17"/>
      <c r="E136" s="17"/>
      <c r="F136" s="17"/>
      <c r="G136" s="17"/>
      <c r="H136" s="17"/>
      <c r="I136" s="17"/>
      <c r="J136" s="17"/>
      <c r="K136" s="17"/>
      <c r="L136" s="17"/>
    </row>
    <row r="137" spans="3:12">
      <c r="C137" s="17"/>
      <c r="D137" s="17"/>
      <c r="E137" s="17"/>
      <c r="F137" s="17"/>
      <c r="G137" s="17"/>
      <c r="H137" s="17"/>
      <c r="I137" s="17"/>
      <c r="J137" s="17"/>
      <c r="K137" s="17"/>
      <c r="L137" s="17"/>
    </row>
    <row r="138" spans="3:12">
      <c r="C138" s="17" t="s">
        <v>146</v>
      </c>
      <c r="D138" s="17"/>
      <c r="E138" s="17"/>
      <c r="F138" s="17"/>
      <c r="G138" s="17"/>
      <c r="H138" s="17"/>
      <c r="I138" s="17"/>
      <c r="J138" s="17"/>
      <c r="K138" s="17"/>
      <c r="L138" s="17"/>
    </row>
    <row r="139" spans="3:12">
      <c r="C139" s="17"/>
      <c r="D139" s="17"/>
      <c r="E139" s="17"/>
      <c r="F139" s="17"/>
      <c r="G139" s="17"/>
      <c r="H139" s="17"/>
      <c r="I139" s="17"/>
      <c r="J139" s="17"/>
      <c r="K139" s="17"/>
      <c r="L139" s="17"/>
    </row>
    <row r="140" spans="3:12" ht="15.75">
      <c r="C140" s="17"/>
      <c r="D140" s="17"/>
      <c r="E140" s="17" t="s">
        <v>147</v>
      </c>
      <c r="F140" s="17"/>
      <c r="G140" s="17"/>
      <c r="H140" s="17"/>
      <c r="I140" s="17"/>
      <c r="J140" s="17"/>
      <c r="K140" s="17"/>
      <c r="L140" s="17"/>
    </row>
    <row r="141" spans="3:12">
      <c r="C141" s="17"/>
      <c r="D141" s="17"/>
      <c r="E141" s="17"/>
      <c r="F141" s="17"/>
      <c r="G141" s="17"/>
      <c r="H141" s="17"/>
      <c r="I141" s="17"/>
      <c r="J141" s="17"/>
      <c r="K141" s="17"/>
      <c r="L141" s="17"/>
    </row>
    <row r="142" spans="3:12" ht="15.75">
      <c r="C142" s="17" t="s">
        <v>148</v>
      </c>
      <c r="D142" s="20" t="s">
        <v>116</v>
      </c>
      <c r="E142" s="17" t="s">
        <v>149</v>
      </c>
      <c r="F142" s="17"/>
      <c r="G142" s="17"/>
      <c r="H142" s="17"/>
      <c r="I142" s="17"/>
      <c r="J142" s="17"/>
      <c r="K142" s="17"/>
      <c r="L142" s="17"/>
    </row>
    <row r="143" spans="3:12" ht="15.75">
      <c r="C143" s="17" t="s">
        <v>150</v>
      </c>
      <c r="D143" s="20" t="s">
        <v>116</v>
      </c>
      <c r="E143" s="17" t="s">
        <v>151</v>
      </c>
      <c r="F143" s="17"/>
      <c r="G143" s="17"/>
      <c r="H143" s="17"/>
      <c r="I143" s="17"/>
      <c r="J143" s="17"/>
      <c r="K143" s="17"/>
      <c r="L143" s="17"/>
    </row>
    <row r="144" spans="3:12">
      <c r="C144" s="17" t="s">
        <v>152</v>
      </c>
      <c r="D144" s="20" t="s">
        <v>116</v>
      </c>
      <c r="E144" s="17" t="s">
        <v>153</v>
      </c>
      <c r="F144" s="17"/>
      <c r="G144" s="17"/>
      <c r="H144" s="17"/>
      <c r="I144" s="17"/>
      <c r="J144" s="17"/>
      <c r="K144" s="17"/>
      <c r="L144" s="17"/>
    </row>
    <row r="145" spans="3:23" ht="15.75">
      <c r="C145" s="17" t="s">
        <v>154</v>
      </c>
      <c r="D145" s="20" t="s">
        <v>116</v>
      </c>
      <c r="E145" s="17" t="s">
        <v>155</v>
      </c>
      <c r="F145" s="17"/>
      <c r="G145" s="17"/>
      <c r="H145" s="17"/>
      <c r="I145" s="17"/>
      <c r="J145" s="17"/>
      <c r="K145" s="17"/>
      <c r="L145" s="17"/>
    </row>
    <row r="146" spans="3:23">
      <c r="C146" s="17" t="s">
        <v>156</v>
      </c>
      <c r="D146" s="20" t="s">
        <v>116</v>
      </c>
      <c r="E146" s="17" t="s">
        <v>157</v>
      </c>
      <c r="F146" s="17"/>
      <c r="G146" s="17"/>
      <c r="H146" s="17"/>
      <c r="I146" s="17"/>
      <c r="J146" s="17"/>
      <c r="K146" s="17"/>
      <c r="L146" s="17"/>
    </row>
    <row r="147" spans="3:23" ht="15.75">
      <c r="C147" s="17" t="s">
        <v>158</v>
      </c>
      <c r="D147" s="20" t="s">
        <v>116</v>
      </c>
      <c r="E147" s="17" t="s">
        <v>159</v>
      </c>
      <c r="F147" s="20"/>
      <c r="G147" s="17"/>
      <c r="H147" s="17"/>
      <c r="I147" s="17"/>
      <c r="J147" s="17"/>
      <c r="K147" s="17"/>
      <c r="L147" s="17"/>
    </row>
    <row r="148" spans="3:23">
      <c r="C148" s="17"/>
      <c r="D148" s="17"/>
      <c r="E148" s="17"/>
      <c r="F148" s="17"/>
      <c r="G148" s="17"/>
      <c r="H148" s="17"/>
      <c r="I148" s="17"/>
      <c r="J148" s="17"/>
      <c r="K148" s="17"/>
      <c r="L148" s="17"/>
    </row>
    <row r="149" spans="3:23">
      <c r="C149" s="17"/>
      <c r="D149" s="17"/>
      <c r="E149" s="17"/>
      <c r="F149" s="17"/>
      <c r="G149" s="17"/>
      <c r="H149" s="17"/>
      <c r="I149" s="17"/>
      <c r="J149" s="17"/>
      <c r="K149" s="17"/>
      <c r="L149" s="17"/>
    </row>
    <row r="150" spans="3:23" ht="27">
      <c r="C150" s="198" t="s">
        <v>136</v>
      </c>
      <c r="D150" s="87" t="s">
        <v>160</v>
      </c>
      <c r="E150" s="134" t="s">
        <v>161</v>
      </c>
      <c r="F150" s="197" t="s">
        <v>162</v>
      </c>
      <c r="G150" s="134" t="s">
        <v>163</v>
      </c>
      <c r="H150" s="134" t="s">
        <v>145</v>
      </c>
      <c r="I150" s="199" t="s">
        <v>164</v>
      </c>
      <c r="J150" s="199" t="s">
        <v>165</v>
      </c>
      <c r="K150" s="134" t="s">
        <v>166</v>
      </c>
      <c r="L150" s="25"/>
    </row>
    <row r="151" spans="3:23">
      <c r="C151" s="2" t="s">
        <v>19</v>
      </c>
      <c r="D151" s="59">
        <v>22.288906597820393</v>
      </c>
      <c r="E151" s="2">
        <v>1.1499999999999999</v>
      </c>
      <c r="F151" s="60">
        <v>1</v>
      </c>
      <c r="G151" s="60">
        <v>1</v>
      </c>
      <c r="H151" s="59">
        <v>10</v>
      </c>
      <c r="I151" s="59">
        <v>1.6659995996262555</v>
      </c>
      <c r="J151" s="59">
        <v>0.20282899481977704</v>
      </c>
      <c r="K151" s="102">
        <v>1.1298749190873731</v>
      </c>
      <c r="L151" s="20"/>
    </row>
    <row r="152" spans="3:23">
      <c r="C152" s="243">
        <v>5</v>
      </c>
      <c r="D152" s="244">
        <v>22.288906597820393</v>
      </c>
      <c r="E152" s="243">
        <v>1.1499999999999999</v>
      </c>
      <c r="F152" s="245">
        <v>1</v>
      </c>
      <c r="G152" s="245">
        <v>1</v>
      </c>
      <c r="H152" s="244">
        <v>10</v>
      </c>
      <c r="I152" s="244">
        <v>1.6659995996262555</v>
      </c>
      <c r="J152" s="244">
        <v>0.20282899481977704</v>
      </c>
      <c r="K152" s="246">
        <v>1.1298749190873731</v>
      </c>
      <c r="L152" s="20"/>
    </row>
    <row r="153" spans="3:23">
      <c r="C153" s="243">
        <v>4</v>
      </c>
      <c r="D153" s="244">
        <v>22.288906597820393</v>
      </c>
      <c r="E153" s="243">
        <v>1.1499999999999999</v>
      </c>
      <c r="F153" s="245">
        <v>1</v>
      </c>
      <c r="G153" s="245">
        <v>1</v>
      </c>
      <c r="H153" s="244">
        <v>10</v>
      </c>
      <c r="I153" s="244">
        <v>1.6659995996262555</v>
      </c>
      <c r="J153" s="244">
        <v>0.20282899481977704</v>
      </c>
      <c r="K153" s="246">
        <v>1.1298749190873731</v>
      </c>
      <c r="L153" s="20"/>
    </row>
    <row r="154" spans="3:23">
      <c r="C154" s="243">
        <v>3</v>
      </c>
      <c r="D154" s="244">
        <v>22.288906597820393</v>
      </c>
      <c r="E154" s="243">
        <v>1.1499999999999999</v>
      </c>
      <c r="F154" s="245">
        <v>1</v>
      </c>
      <c r="G154" s="245">
        <v>1</v>
      </c>
      <c r="H154" s="244">
        <v>10</v>
      </c>
      <c r="I154" s="244">
        <v>1.6659995996262555</v>
      </c>
      <c r="J154" s="244">
        <v>0.20282899481977704</v>
      </c>
      <c r="K154" s="246">
        <v>1.1298749190873731</v>
      </c>
      <c r="L154" s="20"/>
    </row>
    <row r="155" spans="3:23">
      <c r="C155" s="243">
        <v>2</v>
      </c>
      <c r="D155" s="244">
        <v>22.288906597820393</v>
      </c>
      <c r="E155" s="243">
        <v>1.1499999999999999</v>
      </c>
      <c r="F155" s="245">
        <v>1</v>
      </c>
      <c r="G155" s="245">
        <v>1</v>
      </c>
      <c r="H155" s="244">
        <v>10</v>
      </c>
      <c r="I155" s="244">
        <v>1.6659995996262555</v>
      </c>
      <c r="J155" s="244">
        <v>0.20282899481977704</v>
      </c>
      <c r="K155" s="246">
        <v>1.1298749190873731</v>
      </c>
      <c r="L155" s="20"/>
    </row>
    <row r="156" spans="3:23">
      <c r="C156" s="23">
        <v>1</v>
      </c>
      <c r="D156" s="35">
        <v>22.288906597820393</v>
      </c>
      <c r="E156" s="23">
        <v>1.1499999999999999</v>
      </c>
      <c r="F156" s="36">
        <v>1</v>
      </c>
      <c r="G156" s="36">
        <v>1</v>
      </c>
      <c r="H156" s="35">
        <v>10</v>
      </c>
      <c r="I156" s="35">
        <v>1.6659995996262555</v>
      </c>
      <c r="J156" s="35">
        <v>0.20282899481977704</v>
      </c>
      <c r="K156" s="37">
        <v>1.1298749190873731</v>
      </c>
      <c r="L156" s="20"/>
    </row>
    <row r="160" spans="3:23">
      <c r="C160" s="22" t="s">
        <v>167</v>
      </c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</row>
    <row r="161" spans="3:23"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</row>
    <row r="162" spans="3:23"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</row>
    <row r="163" spans="3:23"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</row>
    <row r="164" spans="3:23"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</row>
    <row r="165" spans="3:23"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</row>
    <row r="166" spans="3:23" ht="15.75">
      <c r="C166" s="17" t="s">
        <v>168</v>
      </c>
      <c r="D166" s="20" t="s">
        <v>116</v>
      </c>
      <c r="E166" s="17" t="s">
        <v>169</v>
      </c>
      <c r="F166" s="17"/>
      <c r="G166" s="17"/>
      <c r="H166" s="17"/>
      <c r="I166" s="17"/>
      <c r="J166" s="20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</row>
    <row r="167" spans="3:23" ht="15.75">
      <c r="C167" s="17" t="s">
        <v>170</v>
      </c>
      <c r="D167" s="20" t="s">
        <v>116</v>
      </c>
      <c r="E167" s="17" t="s">
        <v>171</v>
      </c>
      <c r="F167" s="17"/>
      <c r="G167" s="17"/>
      <c r="H167" s="17"/>
      <c r="I167" s="17"/>
      <c r="J167" s="20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</row>
    <row r="168" spans="3:23" ht="15.75">
      <c r="C168" s="17" t="s">
        <v>172</v>
      </c>
      <c r="D168" s="20" t="s">
        <v>116</v>
      </c>
      <c r="E168" s="17" t="s">
        <v>173</v>
      </c>
      <c r="F168" s="17"/>
      <c r="G168" s="17"/>
      <c r="H168" s="17"/>
      <c r="I168" s="17"/>
      <c r="J168" s="20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</row>
    <row r="169" spans="3:23" ht="15.75">
      <c r="C169" s="17" t="s">
        <v>174</v>
      </c>
      <c r="D169" s="20" t="s">
        <v>116</v>
      </c>
      <c r="E169" s="17" t="s">
        <v>175</v>
      </c>
      <c r="F169" s="17"/>
      <c r="G169" s="17"/>
      <c r="H169" s="17"/>
      <c r="I169" s="17"/>
      <c r="J169" s="20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</row>
    <row r="170" spans="3:23" ht="15.75">
      <c r="C170" s="17" t="s">
        <v>176</v>
      </c>
      <c r="D170" s="20" t="s">
        <v>116</v>
      </c>
      <c r="E170" s="17" t="s">
        <v>177</v>
      </c>
      <c r="F170" s="17"/>
      <c r="G170" s="17"/>
      <c r="H170" s="17"/>
      <c r="I170" s="17"/>
      <c r="J170" s="20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</row>
    <row r="171" spans="3:23" ht="15.75">
      <c r="C171" s="17" t="s">
        <v>178</v>
      </c>
      <c r="D171" s="20" t="s">
        <v>116</v>
      </c>
      <c r="E171" s="17" t="s">
        <v>179</v>
      </c>
      <c r="F171" s="17"/>
      <c r="G171" s="17"/>
      <c r="H171" s="17"/>
      <c r="I171" s="17"/>
      <c r="J171" s="20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</row>
    <row r="172" spans="3:23"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</row>
    <row r="173" spans="3:23"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</row>
    <row r="174" spans="3:23"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</row>
    <row r="175" spans="3:23"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</row>
    <row r="176" spans="3:23" ht="15">
      <c r="C176" s="22" t="s">
        <v>136</v>
      </c>
      <c r="D176" s="200" t="s">
        <v>81</v>
      </c>
      <c r="E176" s="200" t="s">
        <v>83</v>
      </c>
      <c r="F176" s="134" t="s">
        <v>180</v>
      </c>
      <c r="G176" s="200" t="s">
        <v>89</v>
      </c>
      <c r="H176" s="200" t="s">
        <v>181</v>
      </c>
      <c r="I176" s="134" t="s">
        <v>93</v>
      </c>
      <c r="J176" s="25"/>
      <c r="K176" s="25"/>
      <c r="L176" s="25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</row>
    <row r="177" spans="3:23">
      <c r="C177" s="2" t="s">
        <v>19</v>
      </c>
      <c r="D177" s="102">
        <v>1.9919436684934608E-2</v>
      </c>
      <c r="E177" s="102">
        <v>1.2924637681159421</v>
      </c>
      <c r="F177" s="102">
        <v>1.2283601132964359</v>
      </c>
      <c r="G177" s="102">
        <v>4.5913429316247145E-2</v>
      </c>
      <c r="H177" s="102">
        <v>2.1325738027049028</v>
      </c>
      <c r="I177" s="60">
        <v>4.7192305501184624</v>
      </c>
      <c r="J177" s="66"/>
      <c r="K177" s="20"/>
      <c r="L177" s="20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</row>
    <row r="178" spans="3:23">
      <c r="C178" s="243">
        <v>5</v>
      </c>
      <c r="D178" s="246">
        <v>5.2135253922597949E-2</v>
      </c>
      <c r="E178" s="246">
        <v>1.9478260869565218</v>
      </c>
      <c r="F178" s="246">
        <v>2.0766865820734335</v>
      </c>
      <c r="G178" s="246">
        <v>8.2794025006865002E-2</v>
      </c>
      <c r="H178" s="246">
        <v>1.918862944243735</v>
      </c>
      <c r="I178" s="245">
        <v>6.0783048922031533</v>
      </c>
      <c r="J178" s="66"/>
      <c r="K178" s="20"/>
      <c r="L178" s="20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</row>
    <row r="179" spans="3:23">
      <c r="C179" s="243">
        <v>4</v>
      </c>
      <c r="D179" s="246">
        <v>8.5975206126894632E-2</v>
      </c>
      <c r="E179" s="246">
        <v>2.689855072463768</v>
      </c>
      <c r="F179" s="246">
        <v>1.4257089106316387</v>
      </c>
      <c r="G179" s="246">
        <v>0.11376302086694999</v>
      </c>
      <c r="H179" s="246">
        <v>1.7448628446377443</v>
      </c>
      <c r="I179" s="245">
        <v>6.060165054726995</v>
      </c>
      <c r="J179" s="66"/>
      <c r="K179" s="20"/>
      <c r="L179" s="20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</row>
    <row r="180" spans="3:23">
      <c r="C180" s="243">
        <v>3</v>
      </c>
      <c r="D180" s="246">
        <v>0.12742883856631942</v>
      </c>
      <c r="E180" s="246">
        <v>3.3855072463768114</v>
      </c>
      <c r="F180" s="246">
        <v>1.0037789384008462</v>
      </c>
      <c r="G180" s="246">
        <v>0.13231072424713961</v>
      </c>
      <c r="H180" s="246">
        <v>1.4744641112666561</v>
      </c>
      <c r="I180" s="245">
        <v>6.1234898588577735</v>
      </c>
      <c r="J180" s="66"/>
      <c r="K180" s="20"/>
      <c r="L180" s="20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</row>
    <row r="181" spans="3:23">
      <c r="C181" s="243">
        <v>2</v>
      </c>
      <c r="D181" s="246">
        <v>0.17734229717732533</v>
      </c>
      <c r="E181" s="246">
        <v>4.1739130434782608</v>
      </c>
      <c r="F181" s="246">
        <v>1.5257289174417064</v>
      </c>
      <c r="G181" s="246">
        <v>0.15322890142922524</v>
      </c>
      <c r="H181" s="246">
        <v>1.1048602783098171</v>
      </c>
      <c r="I181" s="245">
        <v>7.1350734378363354</v>
      </c>
      <c r="J181" s="66"/>
      <c r="K181" s="20"/>
      <c r="L181" s="20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</row>
    <row r="182" spans="3:23">
      <c r="C182" s="23">
        <v>1</v>
      </c>
      <c r="D182" s="37">
        <v>0.23265793352885322</v>
      </c>
      <c r="E182" s="37">
        <v>4.5913043478260871</v>
      </c>
      <c r="F182" s="37">
        <v>1.8461319901044646</v>
      </c>
      <c r="G182" s="37">
        <v>0.17353944850997061</v>
      </c>
      <c r="H182" s="37">
        <v>0.61734121043392087</v>
      </c>
      <c r="I182" s="36">
        <v>7.460974930403296</v>
      </c>
      <c r="J182" s="66"/>
      <c r="K182" s="20"/>
      <c r="L182" s="20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</row>
    <row r="183" spans="3:23">
      <c r="C183" s="17"/>
      <c r="D183" s="17"/>
      <c r="E183" s="17"/>
      <c r="F183" s="17"/>
      <c r="G183" s="17"/>
      <c r="H183" s="17"/>
      <c r="I183" s="17"/>
      <c r="J183" s="66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</row>
    <row r="184" spans="3:23"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</row>
    <row r="185" spans="3:23">
      <c r="C185" s="18" t="s">
        <v>182</v>
      </c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</row>
    <row r="186" spans="3:23"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</row>
    <row r="187" spans="3:23" ht="15.75">
      <c r="C187" s="17" t="s">
        <v>183</v>
      </c>
      <c r="D187" s="20" t="s">
        <v>116</v>
      </c>
      <c r="E187" s="17" t="s">
        <v>184</v>
      </c>
      <c r="F187" s="17"/>
      <c r="G187" s="17"/>
      <c r="H187" s="17"/>
      <c r="I187" s="17"/>
      <c r="J187" s="20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</row>
    <row r="188" spans="3:23" ht="15.75">
      <c r="C188" s="17" t="s">
        <v>185</v>
      </c>
      <c r="D188" s="20" t="s">
        <v>116</v>
      </c>
      <c r="E188" s="17" t="s">
        <v>186</v>
      </c>
      <c r="F188" s="17"/>
      <c r="G188" s="17"/>
      <c r="H188" s="17"/>
      <c r="I188" s="17"/>
      <c r="J188" s="20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</row>
    <row r="189" spans="3:23" ht="15.75">
      <c r="C189" s="17" t="s">
        <v>187</v>
      </c>
      <c r="D189" s="20" t="s">
        <v>116</v>
      </c>
      <c r="E189" s="17" t="s">
        <v>188</v>
      </c>
      <c r="F189" s="17"/>
      <c r="G189" s="17"/>
      <c r="H189" s="17"/>
      <c r="I189" s="17"/>
      <c r="J189" s="20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</row>
    <row r="190" spans="3:23" ht="15.75">
      <c r="C190" s="17" t="s">
        <v>189</v>
      </c>
      <c r="D190" s="20" t="s">
        <v>116</v>
      </c>
      <c r="E190" s="17" t="s">
        <v>190</v>
      </c>
      <c r="F190" s="17"/>
      <c r="G190" s="17"/>
      <c r="H190" s="17"/>
      <c r="I190" s="17"/>
      <c r="J190" s="20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</row>
    <row r="191" spans="3:23">
      <c r="C191" s="17" t="s">
        <v>191</v>
      </c>
      <c r="D191" s="20" t="s">
        <v>116</v>
      </c>
      <c r="E191" s="17" t="s">
        <v>192</v>
      </c>
      <c r="F191" s="17"/>
      <c r="G191" s="17"/>
      <c r="H191" s="17"/>
      <c r="I191" s="17"/>
      <c r="J191" s="20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</row>
    <row r="192" spans="3:23" ht="15.75">
      <c r="C192" s="17" t="s">
        <v>168</v>
      </c>
      <c r="D192" s="20" t="s">
        <v>116</v>
      </c>
      <c r="E192" s="17" t="s">
        <v>169</v>
      </c>
      <c r="F192" s="17"/>
      <c r="G192" s="17"/>
      <c r="H192" s="17"/>
      <c r="I192" s="17"/>
      <c r="J192" s="20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</row>
    <row r="193" spans="3:23"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</row>
    <row r="194" spans="3:23"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</row>
    <row r="195" spans="3:23" ht="15">
      <c r="C195" s="22" t="s">
        <v>136</v>
      </c>
      <c r="D195" s="200" t="s">
        <v>193</v>
      </c>
      <c r="E195" s="200" t="s">
        <v>194</v>
      </c>
      <c r="F195" s="134" t="s">
        <v>195</v>
      </c>
      <c r="G195" s="200" t="s">
        <v>196</v>
      </c>
      <c r="H195" s="200" t="s">
        <v>81</v>
      </c>
      <c r="I195" s="25"/>
      <c r="J195" s="25"/>
      <c r="K195" s="25"/>
      <c r="L195" s="25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</row>
    <row r="196" spans="3:23">
      <c r="C196" s="2" t="s">
        <v>19</v>
      </c>
      <c r="D196" s="2">
        <v>26000</v>
      </c>
      <c r="E196" s="2">
        <v>3430</v>
      </c>
      <c r="F196" s="61">
        <v>0</v>
      </c>
      <c r="G196" s="62">
        <v>1.7557286694315712E+16</v>
      </c>
      <c r="H196" s="59">
        <v>1.9919436684934608E-2</v>
      </c>
      <c r="I196" s="63"/>
      <c r="J196" s="20"/>
      <c r="K196" s="20"/>
      <c r="L196" s="20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</row>
    <row r="197" spans="3:23">
      <c r="C197" s="243">
        <v>5</v>
      </c>
      <c r="D197" s="243">
        <v>42000</v>
      </c>
      <c r="E197" s="243">
        <v>3200</v>
      </c>
      <c r="F197" s="247">
        <v>89180000</v>
      </c>
      <c r="G197" s="248">
        <v>1.7557286694315712E+16</v>
      </c>
      <c r="H197" s="244">
        <v>5.2135253922597949E-2</v>
      </c>
      <c r="I197" s="63"/>
      <c r="J197" s="20"/>
      <c r="K197" s="20"/>
      <c r="L197" s="20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</row>
    <row r="198" spans="3:23">
      <c r="C198" s="243">
        <v>4</v>
      </c>
      <c r="D198" s="243">
        <v>58000</v>
      </c>
      <c r="E198" s="243">
        <v>3200</v>
      </c>
      <c r="F198" s="247">
        <v>223580000</v>
      </c>
      <c r="G198" s="248">
        <v>2.0683221905185976E+16</v>
      </c>
      <c r="H198" s="244">
        <v>8.5975206126894632E-2</v>
      </c>
      <c r="I198" s="63"/>
      <c r="J198" s="20"/>
      <c r="K198" s="20"/>
      <c r="L198" s="20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</row>
    <row r="199" spans="3:23">
      <c r="C199" s="243">
        <v>3</v>
      </c>
      <c r="D199" s="243">
        <v>73000</v>
      </c>
      <c r="E199" s="243">
        <v>3200</v>
      </c>
      <c r="F199" s="247">
        <v>409180000</v>
      </c>
      <c r="G199" s="248">
        <v>2.2697815496147372E+16</v>
      </c>
      <c r="H199" s="244">
        <v>0.12742883856631942</v>
      </c>
      <c r="I199" s="63"/>
      <c r="J199" s="20"/>
      <c r="K199" s="20"/>
      <c r="L199" s="20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</row>
    <row r="200" spans="3:23">
      <c r="C200" s="243">
        <v>2</v>
      </c>
      <c r="D200" s="243">
        <v>90000</v>
      </c>
      <c r="E200" s="243">
        <v>3200</v>
      </c>
      <c r="F200" s="247">
        <v>642780000</v>
      </c>
      <c r="G200" s="248">
        <v>2.4100700554963128E+16</v>
      </c>
      <c r="H200" s="244">
        <v>0.17734229717732533</v>
      </c>
      <c r="I200" s="63"/>
      <c r="J200" s="20"/>
      <c r="K200" s="20"/>
      <c r="L200" s="20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</row>
    <row r="201" spans="3:23">
      <c r="C201" s="23">
        <v>1</v>
      </c>
      <c r="D201" s="23">
        <v>99000</v>
      </c>
      <c r="E201" s="23">
        <v>3200</v>
      </c>
      <c r="F201" s="55">
        <v>930780000</v>
      </c>
      <c r="G201" s="56">
        <v>2.5131047591269388E+16</v>
      </c>
      <c r="H201" s="35">
        <v>0.23265793352885322</v>
      </c>
      <c r="I201" s="63"/>
      <c r="J201" s="20"/>
      <c r="K201" s="20"/>
      <c r="L201" s="20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</row>
    <row r="202" spans="3:23"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</row>
    <row r="203" spans="3:23">
      <c r="C203" s="17"/>
      <c r="D203" s="20"/>
      <c r="E203" s="17"/>
      <c r="F203" s="17"/>
      <c r="G203" s="17"/>
      <c r="H203" s="17"/>
      <c r="I203" s="17"/>
      <c r="J203" s="20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</row>
    <row r="204" spans="3:23" ht="25.5">
      <c r="C204" s="87" t="s">
        <v>136</v>
      </c>
      <c r="D204" s="134" t="s">
        <v>197</v>
      </c>
      <c r="E204" s="134" t="s">
        <v>198</v>
      </c>
      <c r="F204" s="134" t="s">
        <v>199</v>
      </c>
      <c r="G204" s="134" t="s">
        <v>200</v>
      </c>
      <c r="H204" s="134" t="s">
        <v>201</v>
      </c>
      <c r="I204" s="134" t="s">
        <v>202</v>
      </c>
      <c r="J204" s="134" t="s">
        <v>203</v>
      </c>
      <c r="K204" s="134" t="s">
        <v>204</v>
      </c>
      <c r="L204" s="134" t="s">
        <v>205</v>
      </c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</row>
    <row r="205" spans="3:23">
      <c r="C205" s="2" t="s">
        <v>19</v>
      </c>
      <c r="D205" s="2">
        <v>9500</v>
      </c>
      <c r="E205" s="2">
        <v>200000</v>
      </c>
      <c r="F205" s="2">
        <v>42560</v>
      </c>
      <c r="G205" s="86">
        <v>1691.08</v>
      </c>
      <c r="H205" s="60">
        <v>21.05263157894737</v>
      </c>
      <c r="I205" s="86">
        <v>35601.68421052632</v>
      </c>
      <c r="J205" s="2">
        <v>9764</v>
      </c>
      <c r="K205" s="86">
        <v>5316.6182919077319</v>
      </c>
      <c r="L205" s="62">
        <v>1848135441506.917</v>
      </c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</row>
    <row r="206" spans="3:23">
      <c r="C206" s="243">
        <v>5</v>
      </c>
      <c r="D206" s="243">
        <v>9500</v>
      </c>
      <c r="E206" s="243">
        <v>200000</v>
      </c>
      <c r="F206" s="243">
        <v>42560</v>
      </c>
      <c r="G206" s="249">
        <v>1691.08</v>
      </c>
      <c r="H206" s="245">
        <v>21.05263157894737</v>
      </c>
      <c r="I206" s="249">
        <v>35601.68421052632</v>
      </c>
      <c r="J206" s="243">
        <v>9764</v>
      </c>
      <c r="K206" s="249">
        <v>5316.6182919077319</v>
      </c>
      <c r="L206" s="248">
        <v>1848135441506.917</v>
      </c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</row>
    <row r="207" spans="3:23">
      <c r="C207" s="243">
        <v>4</v>
      </c>
      <c r="D207" s="243">
        <v>9500</v>
      </c>
      <c r="E207" s="243">
        <v>200000</v>
      </c>
      <c r="F207" s="243">
        <v>63840</v>
      </c>
      <c r="G207" s="249">
        <v>1691.08</v>
      </c>
      <c r="H207" s="245">
        <v>21.05263157894737</v>
      </c>
      <c r="I207" s="249">
        <v>35601.68421052632</v>
      </c>
      <c r="J207" s="243">
        <v>9760</v>
      </c>
      <c r="K207" s="249">
        <v>6265.7667651816028</v>
      </c>
      <c r="L207" s="248">
        <v>2177181253177.4712</v>
      </c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</row>
    <row r="208" spans="3:23">
      <c r="C208" s="243">
        <v>3</v>
      </c>
      <c r="D208" s="243">
        <v>9500</v>
      </c>
      <c r="E208" s="243">
        <v>200000</v>
      </c>
      <c r="F208" s="243">
        <v>85120</v>
      </c>
      <c r="G208" s="249">
        <v>1691.08</v>
      </c>
      <c r="H208" s="245">
        <v>21.05263157894737</v>
      </c>
      <c r="I208" s="249">
        <v>35601.68421052632</v>
      </c>
      <c r="J208" s="243">
        <v>9756</v>
      </c>
      <c r="K208" s="249">
        <v>6878.8861374052185</v>
      </c>
      <c r="L208" s="248">
        <v>2389243736436.5654</v>
      </c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</row>
    <row r="209" spans="3:23">
      <c r="C209" s="243">
        <v>2</v>
      </c>
      <c r="D209" s="243">
        <v>9500</v>
      </c>
      <c r="E209" s="243">
        <v>200000</v>
      </c>
      <c r="F209" s="243">
        <v>106400</v>
      </c>
      <c r="G209" s="249">
        <v>1691.08</v>
      </c>
      <c r="H209" s="245">
        <v>21.05263157894737</v>
      </c>
      <c r="I209" s="249">
        <v>35601.68421052632</v>
      </c>
      <c r="J209" s="243">
        <v>9752</v>
      </c>
      <c r="K209" s="249">
        <v>7307.0457281455519</v>
      </c>
      <c r="L209" s="248">
        <v>2536915847890.8555</v>
      </c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</row>
    <row r="210" spans="3:23">
      <c r="C210" s="23">
        <v>1</v>
      </c>
      <c r="D210" s="23">
        <v>9500</v>
      </c>
      <c r="E210" s="23">
        <v>200000</v>
      </c>
      <c r="F210" s="23">
        <v>127680</v>
      </c>
      <c r="G210" s="54">
        <v>1691.08</v>
      </c>
      <c r="H210" s="36">
        <v>21.05263157894737</v>
      </c>
      <c r="I210" s="54">
        <v>35601.68421052632</v>
      </c>
      <c r="J210" s="23">
        <v>9748</v>
      </c>
      <c r="K210" s="54">
        <v>7622.5612567497174</v>
      </c>
      <c r="L210" s="56">
        <v>2645373430659.9355</v>
      </c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</row>
    <row r="211" spans="3:23">
      <c r="C211" s="17"/>
      <c r="D211" s="20"/>
      <c r="E211" s="17"/>
      <c r="F211" s="17"/>
      <c r="G211" s="17"/>
      <c r="H211" s="17"/>
      <c r="I211" s="17"/>
      <c r="J211" s="20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</row>
    <row r="212" spans="3:23">
      <c r="C212" s="18" t="s">
        <v>206</v>
      </c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</row>
    <row r="213" spans="3:23"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</row>
    <row r="214" spans="3:23" ht="15.75">
      <c r="C214" s="17" t="s">
        <v>207</v>
      </c>
      <c r="D214" s="20" t="s">
        <v>116</v>
      </c>
      <c r="E214" s="17" t="s">
        <v>208</v>
      </c>
      <c r="F214" s="17"/>
      <c r="G214" s="17"/>
      <c r="H214" s="17"/>
      <c r="I214" s="17"/>
      <c r="J214" s="20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</row>
    <row r="215" spans="3:23" ht="15.75">
      <c r="C215" s="17" t="s">
        <v>209</v>
      </c>
      <c r="D215" s="20" t="s">
        <v>116</v>
      </c>
      <c r="E215" s="17" t="s">
        <v>210</v>
      </c>
      <c r="F215" s="17"/>
      <c r="G215" s="17"/>
      <c r="H215" s="17"/>
      <c r="I215" s="17"/>
      <c r="J215" s="20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</row>
    <row r="216" spans="3:23" ht="15.75">
      <c r="C216" s="17" t="s">
        <v>170</v>
      </c>
      <c r="D216" s="20" t="s">
        <v>116</v>
      </c>
      <c r="E216" s="17" t="s">
        <v>211</v>
      </c>
      <c r="F216" s="17"/>
      <c r="G216" s="17"/>
      <c r="H216" s="17"/>
      <c r="I216" s="17"/>
      <c r="J216" s="20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</row>
    <row r="217" spans="3:23"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</row>
    <row r="218" spans="3:23" ht="25.5">
      <c r="C218" s="198" t="s">
        <v>136</v>
      </c>
      <c r="D218" s="87" t="s">
        <v>193</v>
      </c>
      <c r="E218" s="87" t="s">
        <v>194</v>
      </c>
      <c r="F218" s="87" t="s">
        <v>212</v>
      </c>
      <c r="G218" s="87" t="s">
        <v>82</v>
      </c>
      <c r="H218" s="87" t="s">
        <v>83</v>
      </c>
      <c r="I218" s="25"/>
      <c r="J218" s="18"/>
      <c r="K218" s="18"/>
      <c r="L218" s="18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</row>
    <row r="219" spans="3:23">
      <c r="C219" s="2" t="s">
        <v>19</v>
      </c>
      <c r="D219" s="2">
        <v>26000</v>
      </c>
      <c r="E219" s="2">
        <v>3430</v>
      </c>
      <c r="F219" s="2">
        <v>10000</v>
      </c>
      <c r="G219" s="2">
        <v>6900</v>
      </c>
      <c r="H219" s="59">
        <v>1.2924637681159421</v>
      </c>
      <c r="I219" s="42"/>
      <c r="J219" s="65"/>
      <c r="K219" s="17"/>
      <c r="L219" s="20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</row>
    <row r="220" spans="3:23">
      <c r="C220" s="243">
        <v>5</v>
      </c>
      <c r="D220" s="243">
        <v>42000</v>
      </c>
      <c r="E220" s="243">
        <v>3200</v>
      </c>
      <c r="F220" s="243">
        <v>10000</v>
      </c>
      <c r="G220" s="243">
        <v>6900</v>
      </c>
      <c r="H220" s="244">
        <v>1.9478260869565218</v>
      </c>
      <c r="I220" s="42"/>
      <c r="J220" s="65"/>
      <c r="K220" s="17"/>
      <c r="L220" s="20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</row>
    <row r="221" spans="3:23">
      <c r="C221" s="243">
        <v>4</v>
      </c>
      <c r="D221" s="243">
        <v>58000</v>
      </c>
      <c r="E221" s="243">
        <v>3200</v>
      </c>
      <c r="F221" s="243">
        <v>10000</v>
      </c>
      <c r="G221" s="243">
        <v>6900</v>
      </c>
      <c r="H221" s="244">
        <v>2.689855072463768</v>
      </c>
      <c r="I221" s="42"/>
      <c r="J221" s="65"/>
      <c r="K221" s="17"/>
      <c r="L221" s="20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</row>
    <row r="222" spans="3:23">
      <c r="C222" s="243">
        <v>3</v>
      </c>
      <c r="D222" s="243">
        <v>73000</v>
      </c>
      <c r="E222" s="243">
        <v>3200</v>
      </c>
      <c r="F222" s="243">
        <v>10000</v>
      </c>
      <c r="G222" s="243">
        <v>6900</v>
      </c>
      <c r="H222" s="244">
        <v>3.3855072463768114</v>
      </c>
      <c r="I222" s="42"/>
      <c r="J222" s="65"/>
      <c r="K222" s="17"/>
      <c r="L222" s="20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</row>
    <row r="223" spans="3:23">
      <c r="C223" s="243">
        <v>2</v>
      </c>
      <c r="D223" s="243">
        <v>90000</v>
      </c>
      <c r="E223" s="243">
        <v>3200</v>
      </c>
      <c r="F223" s="243">
        <v>10000</v>
      </c>
      <c r="G223" s="243">
        <v>6900</v>
      </c>
      <c r="H223" s="244">
        <v>4.1739130434782608</v>
      </c>
      <c r="I223" s="42"/>
      <c r="J223" s="65"/>
      <c r="K223" s="17"/>
      <c r="L223" s="20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</row>
    <row r="224" spans="3:23">
      <c r="C224" s="23">
        <v>1</v>
      </c>
      <c r="D224" s="23">
        <v>99000</v>
      </c>
      <c r="E224" s="23">
        <v>3200</v>
      </c>
      <c r="F224" s="23">
        <v>10000</v>
      </c>
      <c r="G224" s="23">
        <v>6900</v>
      </c>
      <c r="H224" s="35">
        <v>4.5913043478260871</v>
      </c>
      <c r="I224" s="42"/>
      <c r="J224" s="65"/>
      <c r="K224" s="17"/>
      <c r="L224" s="20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</row>
    <row r="225" spans="3:23"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</row>
    <row r="226" spans="3:23"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</row>
    <row r="227" spans="3:23">
      <c r="C227" s="18" t="s">
        <v>213</v>
      </c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</row>
    <row r="228" spans="3:23"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</row>
    <row r="229" spans="3:23" ht="15.75">
      <c r="C229" s="17" t="s">
        <v>214</v>
      </c>
      <c r="D229" s="20" t="s">
        <v>116</v>
      </c>
      <c r="E229" s="17" t="s">
        <v>215</v>
      </c>
      <c r="F229" s="17"/>
      <c r="G229" s="17"/>
      <c r="H229" s="17"/>
      <c r="I229" s="17"/>
      <c r="J229" s="20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</row>
    <row r="230" spans="3:23" ht="15.75">
      <c r="C230" s="17" t="s">
        <v>172</v>
      </c>
      <c r="D230" s="20" t="s">
        <v>116</v>
      </c>
      <c r="E230" s="17" t="s">
        <v>173</v>
      </c>
      <c r="F230" s="17"/>
      <c r="G230" s="17"/>
      <c r="H230" s="17"/>
      <c r="I230" s="17"/>
      <c r="J230" s="20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</row>
    <row r="231" spans="3:23">
      <c r="C231" s="17"/>
      <c r="D231" s="20"/>
      <c r="E231" s="17"/>
      <c r="F231" s="17"/>
      <c r="G231" s="17"/>
      <c r="H231" s="17"/>
      <c r="I231" s="17"/>
      <c r="J231" s="20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</row>
    <row r="232" spans="3:23">
      <c r="C232" s="17"/>
      <c r="D232" s="20"/>
      <c r="E232" s="17"/>
      <c r="F232" s="17"/>
      <c r="G232" s="17"/>
      <c r="H232" s="17"/>
      <c r="I232" s="17"/>
      <c r="J232" s="20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</row>
    <row r="233" spans="3:23" ht="25.5">
      <c r="C233" s="87" t="s">
        <v>136</v>
      </c>
      <c r="D233" s="87" t="s">
        <v>216</v>
      </c>
      <c r="E233" s="87" t="s">
        <v>139</v>
      </c>
      <c r="F233" s="87" t="s">
        <v>217</v>
      </c>
      <c r="G233" s="87" t="s">
        <v>84</v>
      </c>
      <c r="H233" s="87" t="s">
        <v>218</v>
      </c>
      <c r="I233" s="87" t="s">
        <v>85</v>
      </c>
      <c r="J233" s="87" t="s">
        <v>83</v>
      </c>
      <c r="K233" s="25"/>
      <c r="L233" s="26"/>
      <c r="M233" s="25"/>
      <c r="N233" s="17"/>
      <c r="O233" s="17"/>
      <c r="P233" s="17"/>
      <c r="Q233" s="17"/>
      <c r="R233" s="17"/>
      <c r="S233" s="17"/>
      <c r="T233" s="17"/>
      <c r="U233" s="17"/>
      <c r="V233" s="17"/>
      <c r="W233" s="17"/>
    </row>
    <row r="234" spans="3:23">
      <c r="C234" s="2" t="s">
        <v>19</v>
      </c>
      <c r="D234" s="60">
        <v>2.6</v>
      </c>
      <c r="E234" s="2">
        <v>150</v>
      </c>
      <c r="F234" s="2">
        <v>10000</v>
      </c>
      <c r="G234" s="86">
        <v>390</v>
      </c>
      <c r="H234" s="59">
        <v>3.66</v>
      </c>
      <c r="I234" s="59">
        <v>0.14324899280424908</v>
      </c>
      <c r="J234" s="59">
        <v>1.2283601132964359</v>
      </c>
      <c r="K234" s="42"/>
      <c r="L234" s="65"/>
      <c r="M234" s="42"/>
      <c r="N234" s="17"/>
      <c r="O234" s="17"/>
      <c r="P234" s="17"/>
      <c r="Q234" s="17"/>
      <c r="R234" s="17"/>
      <c r="S234" s="17"/>
      <c r="T234" s="17"/>
      <c r="U234" s="17"/>
      <c r="V234" s="17"/>
      <c r="W234" s="17"/>
    </row>
    <row r="235" spans="3:23">
      <c r="C235" s="243">
        <v>5</v>
      </c>
      <c r="D235" s="245">
        <v>4.2</v>
      </c>
      <c r="E235" s="243">
        <v>125</v>
      </c>
      <c r="F235" s="243">
        <v>10000</v>
      </c>
      <c r="G235" s="249">
        <v>525</v>
      </c>
      <c r="H235" s="244">
        <v>3.66</v>
      </c>
      <c r="I235" s="244">
        <v>0.25958582275917919</v>
      </c>
      <c r="J235" s="244">
        <v>2.0766865820734335</v>
      </c>
      <c r="K235" s="42"/>
      <c r="L235" s="65"/>
      <c r="M235" s="42"/>
      <c r="N235" s="17"/>
      <c r="O235" s="17"/>
      <c r="P235" s="17"/>
      <c r="Q235" s="17"/>
      <c r="R235" s="17"/>
      <c r="S235" s="17"/>
      <c r="T235" s="17"/>
      <c r="U235" s="17"/>
      <c r="V235" s="17"/>
      <c r="W235" s="17"/>
    </row>
    <row r="236" spans="3:23">
      <c r="C236" s="243">
        <v>4</v>
      </c>
      <c r="D236" s="245">
        <v>5.8</v>
      </c>
      <c r="E236" s="243">
        <v>75</v>
      </c>
      <c r="F236" s="243">
        <v>10000</v>
      </c>
      <c r="G236" s="249">
        <v>435</v>
      </c>
      <c r="H236" s="244">
        <v>3.66</v>
      </c>
      <c r="I236" s="244">
        <v>0.17821361382895484</v>
      </c>
      <c r="J236" s="244">
        <v>1.4257089106316387</v>
      </c>
      <c r="K236" s="42"/>
      <c r="L236" s="65"/>
      <c r="M236" s="42"/>
      <c r="N236" s="17"/>
      <c r="O236" s="17"/>
      <c r="P236" s="17"/>
      <c r="Q236" s="17"/>
      <c r="R236" s="17"/>
      <c r="S236" s="17"/>
      <c r="T236" s="17"/>
      <c r="U236" s="17"/>
      <c r="V236" s="17"/>
      <c r="W236" s="17"/>
    </row>
    <row r="237" spans="3:23">
      <c r="C237" s="243">
        <v>3</v>
      </c>
      <c r="D237" s="245">
        <v>7.3</v>
      </c>
      <c r="E237" s="243">
        <v>50</v>
      </c>
      <c r="F237" s="243">
        <v>10000</v>
      </c>
      <c r="G237" s="249">
        <v>365</v>
      </c>
      <c r="H237" s="244">
        <v>3.66</v>
      </c>
      <c r="I237" s="244">
        <v>0.12547236730010577</v>
      </c>
      <c r="J237" s="244">
        <v>1.0037789384008462</v>
      </c>
      <c r="K237" s="42"/>
      <c r="L237" s="65"/>
      <c r="M237" s="42"/>
      <c r="N237" s="17"/>
      <c r="O237" s="17"/>
      <c r="P237" s="17"/>
      <c r="Q237" s="17"/>
      <c r="R237" s="17"/>
      <c r="S237" s="17"/>
      <c r="T237" s="17"/>
      <c r="U237" s="17"/>
      <c r="V237" s="17"/>
      <c r="W237" s="17"/>
    </row>
    <row r="238" spans="3:23">
      <c r="C238" s="243">
        <v>2</v>
      </c>
      <c r="D238" s="245">
        <v>9</v>
      </c>
      <c r="E238" s="243">
        <v>50</v>
      </c>
      <c r="F238" s="243">
        <v>10000</v>
      </c>
      <c r="G238" s="249">
        <v>450</v>
      </c>
      <c r="H238" s="244">
        <v>3.66</v>
      </c>
      <c r="I238" s="244">
        <v>0.19071611468021329</v>
      </c>
      <c r="J238" s="244">
        <v>1.5257289174417064</v>
      </c>
      <c r="K238" s="42"/>
      <c r="L238" s="65"/>
      <c r="M238" s="42"/>
      <c r="N238" s="17"/>
      <c r="O238" s="17"/>
      <c r="P238" s="17"/>
      <c r="Q238" s="17"/>
      <c r="R238" s="17"/>
      <c r="S238" s="17"/>
      <c r="T238" s="17"/>
      <c r="U238" s="17"/>
      <c r="V238" s="17"/>
      <c r="W238" s="17"/>
    </row>
    <row r="239" spans="3:23">
      <c r="C239" s="23">
        <v>1</v>
      </c>
      <c r="D239" s="36">
        <v>9.9</v>
      </c>
      <c r="E239" s="23">
        <v>50</v>
      </c>
      <c r="F239" s="23">
        <v>10000</v>
      </c>
      <c r="G239" s="54">
        <v>495</v>
      </c>
      <c r="H239" s="35">
        <v>3.66</v>
      </c>
      <c r="I239" s="35">
        <v>0.23076649876305808</v>
      </c>
      <c r="J239" s="35">
        <v>1.8461319901044646</v>
      </c>
      <c r="K239" s="42"/>
      <c r="L239" s="65"/>
      <c r="M239" s="42"/>
      <c r="N239" s="17"/>
      <c r="O239" s="17"/>
      <c r="P239" s="17"/>
      <c r="Q239" s="17"/>
      <c r="R239" s="17"/>
      <c r="S239" s="17"/>
      <c r="T239" s="17"/>
      <c r="U239" s="17"/>
      <c r="V239" s="17"/>
      <c r="W239" s="17"/>
    </row>
    <row r="240" spans="3:23"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</row>
    <row r="241" spans="3:23">
      <c r="C241" s="18" t="s">
        <v>219</v>
      </c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</row>
    <row r="242" spans="3:23"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</row>
    <row r="243" spans="3:23" ht="15.75">
      <c r="C243" s="17" t="s">
        <v>220</v>
      </c>
      <c r="D243" s="20" t="s">
        <v>116</v>
      </c>
      <c r="E243" s="17" t="s">
        <v>221</v>
      </c>
      <c r="F243" s="17"/>
      <c r="G243" s="17"/>
      <c r="H243" s="17"/>
      <c r="I243" s="17"/>
      <c r="J243" s="20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</row>
    <row r="244" spans="3:23">
      <c r="C244" s="17"/>
      <c r="D244" s="20"/>
      <c r="E244" s="17"/>
      <c r="F244" s="17"/>
      <c r="G244" s="17"/>
      <c r="H244" s="17"/>
      <c r="I244" s="17"/>
      <c r="J244" s="20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</row>
    <row r="245" spans="3:23" ht="27">
      <c r="C245" s="87" t="s">
        <v>136</v>
      </c>
      <c r="D245" s="87" t="s">
        <v>222</v>
      </c>
      <c r="E245" s="87" t="s">
        <v>223</v>
      </c>
      <c r="F245" s="87" t="s">
        <v>86</v>
      </c>
      <c r="G245" s="87" t="s">
        <v>87</v>
      </c>
      <c r="H245" s="87" t="s">
        <v>224</v>
      </c>
      <c r="I245" s="134" t="s">
        <v>225</v>
      </c>
      <c r="J245" s="134" t="s">
        <v>226</v>
      </c>
      <c r="K245" s="87" t="s">
        <v>227</v>
      </c>
      <c r="L245" s="87" t="s">
        <v>88</v>
      </c>
      <c r="M245" s="87" t="s">
        <v>89</v>
      </c>
      <c r="N245" s="25"/>
      <c r="O245" s="17"/>
      <c r="P245" s="17"/>
      <c r="Q245" s="17"/>
      <c r="R245" s="17"/>
      <c r="S245" s="17"/>
      <c r="T245" s="17"/>
      <c r="U245" s="17"/>
      <c r="V245" s="17"/>
      <c r="W245" s="17"/>
    </row>
    <row r="246" spans="3:23">
      <c r="C246" s="2" t="s">
        <v>19</v>
      </c>
      <c r="D246" s="86">
        <v>10.701600000000001</v>
      </c>
      <c r="E246" s="60">
        <v>483</v>
      </c>
      <c r="F246" s="2">
        <v>1.016</v>
      </c>
      <c r="G246" s="2">
        <v>5.0999999999999997E-2</v>
      </c>
      <c r="H246" s="86">
        <v>10.701600000000001</v>
      </c>
      <c r="I246" s="2">
        <v>475</v>
      </c>
      <c r="J246" s="2">
        <v>42560</v>
      </c>
      <c r="K246" s="2">
        <v>9764</v>
      </c>
      <c r="L246" s="59">
        <v>0.13385839450800915</v>
      </c>
      <c r="M246" s="59">
        <v>4.5913429316247145E-2</v>
      </c>
      <c r="N246" s="42"/>
      <c r="O246" s="17"/>
      <c r="P246" s="17"/>
      <c r="Q246" s="17"/>
      <c r="R246" s="17"/>
      <c r="S246" s="17"/>
      <c r="T246" s="17"/>
      <c r="U246" s="17"/>
      <c r="V246" s="17"/>
      <c r="W246" s="17"/>
    </row>
    <row r="247" spans="3:23">
      <c r="C247" s="243">
        <v>5</v>
      </c>
      <c r="D247" s="249">
        <v>26.829600000000003</v>
      </c>
      <c r="E247" s="245">
        <v>483</v>
      </c>
      <c r="F247" s="243">
        <v>1.016</v>
      </c>
      <c r="G247" s="243">
        <v>5.0999999999999997E-2</v>
      </c>
      <c r="H247" s="249">
        <v>26.829600000000003</v>
      </c>
      <c r="I247" s="243">
        <v>475</v>
      </c>
      <c r="J247" s="243">
        <v>42560</v>
      </c>
      <c r="K247" s="243">
        <v>9764</v>
      </c>
      <c r="L247" s="244">
        <v>0.25873132814645311</v>
      </c>
      <c r="M247" s="244">
        <v>8.2794025006865002E-2</v>
      </c>
      <c r="N247" s="42"/>
      <c r="O247" s="17"/>
      <c r="P247" s="17"/>
      <c r="Q247" s="17"/>
      <c r="R247" s="17"/>
      <c r="S247" s="17"/>
      <c r="T247" s="17"/>
      <c r="U247" s="17"/>
      <c r="V247" s="17"/>
      <c r="W247" s="17"/>
    </row>
    <row r="248" spans="3:23">
      <c r="C248" s="243">
        <v>4</v>
      </c>
      <c r="D248" s="249">
        <v>49.101599999999998</v>
      </c>
      <c r="E248" s="245">
        <v>483</v>
      </c>
      <c r="F248" s="243">
        <v>0.432</v>
      </c>
      <c r="G248" s="243">
        <v>0.127</v>
      </c>
      <c r="H248" s="249">
        <v>49.101599999999998</v>
      </c>
      <c r="I248" s="243">
        <v>475</v>
      </c>
      <c r="J248" s="243">
        <v>63840</v>
      </c>
      <c r="K248" s="243">
        <v>9760</v>
      </c>
      <c r="L248" s="244">
        <v>0.35550944020921871</v>
      </c>
      <c r="M248" s="244">
        <v>0.11376302086694999</v>
      </c>
      <c r="N248" s="42"/>
      <c r="O248" s="17"/>
      <c r="P248" s="17"/>
      <c r="Q248" s="17"/>
      <c r="R248" s="17"/>
      <c r="S248" s="17"/>
      <c r="T248" s="17"/>
      <c r="U248" s="17"/>
      <c r="V248" s="17"/>
      <c r="W248" s="17"/>
    </row>
    <row r="249" spans="3:23">
      <c r="C249" s="243">
        <v>3</v>
      </c>
      <c r="D249" s="249">
        <v>77.133600000000001</v>
      </c>
      <c r="E249" s="245">
        <v>483</v>
      </c>
      <c r="F249" s="243">
        <v>0.432</v>
      </c>
      <c r="G249" s="243">
        <v>0.127</v>
      </c>
      <c r="H249" s="249">
        <v>77.133600000000001</v>
      </c>
      <c r="I249" s="243">
        <v>475</v>
      </c>
      <c r="J249" s="243">
        <v>85120</v>
      </c>
      <c r="K249" s="243">
        <v>9756</v>
      </c>
      <c r="L249" s="244">
        <v>0.41347101327231123</v>
      </c>
      <c r="M249" s="244">
        <v>0.13231072424713961</v>
      </c>
      <c r="N249" s="42"/>
      <c r="O249" s="17"/>
      <c r="P249" s="17"/>
      <c r="Q249" s="17"/>
      <c r="R249" s="17"/>
      <c r="S249" s="17"/>
      <c r="T249" s="17"/>
      <c r="U249" s="17"/>
      <c r="V249" s="17"/>
      <c r="W249" s="17"/>
    </row>
    <row r="250" spans="3:23">
      <c r="C250" s="243">
        <v>2</v>
      </c>
      <c r="D250" s="249">
        <v>111.6936</v>
      </c>
      <c r="E250" s="245">
        <v>483</v>
      </c>
      <c r="F250" s="243">
        <v>0.432</v>
      </c>
      <c r="G250" s="243">
        <v>0.127</v>
      </c>
      <c r="H250" s="249">
        <v>111.6936</v>
      </c>
      <c r="I250" s="243">
        <v>475</v>
      </c>
      <c r="J250" s="243">
        <v>106400</v>
      </c>
      <c r="K250" s="243">
        <v>9752</v>
      </c>
      <c r="L250" s="244">
        <v>0.47884031696632889</v>
      </c>
      <c r="M250" s="244">
        <v>0.15322890142922524</v>
      </c>
      <c r="N250" s="42"/>
      <c r="O250" s="17"/>
      <c r="P250" s="17"/>
      <c r="Q250" s="17"/>
      <c r="R250" s="17"/>
      <c r="S250" s="17"/>
      <c r="T250" s="17"/>
      <c r="U250" s="17"/>
      <c r="V250" s="17"/>
      <c r="W250" s="17"/>
    </row>
    <row r="251" spans="3:23">
      <c r="C251" s="23">
        <v>1</v>
      </c>
      <c r="D251" s="54">
        <v>149.70959999999999</v>
      </c>
      <c r="E251" s="36">
        <v>483</v>
      </c>
      <c r="F251" s="23">
        <v>0.432</v>
      </c>
      <c r="G251" s="23">
        <v>0.127</v>
      </c>
      <c r="H251" s="54">
        <v>149.70959999999999</v>
      </c>
      <c r="I251" s="23">
        <v>475</v>
      </c>
      <c r="J251" s="23">
        <v>127680</v>
      </c>
      <c r="K251" s="23">
        <v>9748</v>
      </c>
      <c r="L251" s="35">
        <v>0.54231077659365812</v>
      </c>
      <c r="M251" s="35">
        <v>0.17353944850997061</v>
      </c>
      <c r="N251" s="42"/>
      <c r="O251" s="17"/>
      <c r="P251" s="17"/>
      <c r="Q251" s="17"/>
      <c r="R251" s="17"/>
      <c r="S251" s="17"/>
      <c r="T251" s="17"/>
      <c r="U251" s="17"/>
      <c r="V251" s="17"/>
      <c r="W251" s="17"/>
    </row>
    <row r="252" spans="3:23">
      <c r="C252" s="17"/>
      <c r="D252" s="20"/>
      <c r="E252" s="17"/>
      <c r="F252" s="17"/>
      <c r="G252" s="17"/>
      <c r="H252" s="17"/>
      <c r="I252" s="17"/>
      <c r="J252" s="20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</row>
    <row r="253" spans="3:23">
      <c r="C253" s="18" t="s">
        <v>228</v>
      </c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</row>
    <row r="254" spans="3:23"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</row>
    <row r="255" spans="3:23" ht="15.75">
      <c r="C255" s="17" t="s">
        <v>229</v>
      </c>
      <c r="D255" s="20" t="s">
        <v>116</v>
      </c>
      <c r="E255" s="17" t="s">
        <v>230</v>
      </c>
      <c r="F255" s="17"/>
      <c r="G255" s="17"/>
      <c r="H255" s="17"/>
      <c r="I255" s="17"/>
      <c r="J255" s="20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</row>
    <row r="256" spans="3:23" ht="15.75">
      <c r="C256" s="17" t="s">
        <v>231</v>
      </c>
      <c r="D256" s="20" t="s">
        <v>116</v>
      </c>
      <c r="E256" s="17" t="s">
        <v>232</v>
      </c>
      <c r="F256" s="17"/>
      <c r="G256" s="17"/>
      <c r="H256" s="17"/>
      <c r="I256" s="17"/>
      <c r="J256" s="20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</row>
    <row r="257" spans="3:23" ht="15.75">
      <c r="C257" s="17" t="s">
        <v>176</v>
      </c>
      <c r="D257" s="20" t="s">
        <v>116</v>
      </c>
      <c r="E257" s="17" t="s">
        <v>177</v>
      </c>
      <c r="F257" s="17"/>
      <c r="G257" s="17"/>
      <c r="H257" s="17"/>
      <c r="I257" s="17"/>
      <c r="J257" s="20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</row>
    <row r="258" spans="3:23"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</row>
    <row r="259" spans="3:23"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</row>
    <row r="260" spans="3:23"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</row>
    <row r="261" spans="3:23" ht="25.5">
      <c r="C261" s="87" t="s">
        <v>136</v>
      </c>
      <c r="D261" s="87" t="s">
        <v>233</v>
      </c>
      <c r="E261" s="87" t="s">
        <v>217</v>
      </c>
      <c r="F261" s="201" t="s">
        <v>234</v>
      </c>
      <c r="G261" s="201" t="s">
        <v>90</v>
      </c>
      <c r="H261" s="87" t="s">
        <v>88</v>
      </c>
      <c r="I261" s="87" t="s">
        <v>235</v>
      </c>
      <c r="J261" s="201" t="s">
        <v>91</v>
      </c>
      <c r="K261" s="201" t="s">
        <v>92</v>
      </c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</row>
    <row r="262" spans="3:23">
      <c r="C262" s="2" t="s">
        <v>19</v>
      </c>
      <c r="D262" s="2">
        <v>3430</v>
      </c>
      <c r="E262" s="2">
        <v>10000</v>
      </c>
      <c r="F262" s="103">
        <v>8.7111239146944354E-6</v>
      </c>
      <c r="G262" s="62">
        <v>4.0346950647206464E-4</v>
      </c>
      <c r="H262" s="59">
        <v>0.13385839450800915</v>
      </c>
      <c r="I262" s="62">
        <v>2.1827212696959794E-4</v>
      </c>
      <c r="J262" s="61">
        <v>4.5913429316247145E-2</v>
      </c>
      <c r="K262" s="60">
        <v>2.1325738027049028</v>
      </c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</row>
    <row r="263" spans="3:23">
      <c r="C263" s="243">
        <v>5</v>
      </c>
      <c r="D263" s="243">
        <v>3200</v>
      </c>
      <c r="E263" s="243">
        <v>10000</v>
      </c>
      <c r="F263" s="250">
        <v>2.8501898312226855E-5</v>
      </c>
      <c r="G263" s="248">
        <v>3.9475838255737021E-4</v>
      </c>
      <c r="H263" s="244">
        <v>0.25873132814645311</v>
      </c>
      <c r="I263" s="248">
        <v>2.0488628751879701E-4</v>
      </c>
      <c r="J263" s="247">
        <v>8.2794025006865002E-2</v>
      </c>
      <c r="K263" s="245">
        <v>1.918862944243735</v>
      </c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</row>
    <row r="264" spans="3:23">
      <c r="C264" s="243">
        <v>4</v>
      </c>
      <c r="D264" s="243">
        <v>3200</v>
      </c>
      <c r="E264" s="243">
        <v>10000</v>
      </c>
      <c r="F264" s="250">
        <v>4.8948660157543126E-5</v>
      </c>
      <c r="G264" s="248">
        <v>3.6625648424514336E-4</v>
      </c>
      <c r="H264" s="244">
        <v>0.35550944020921871</v>
      </c>
      <c r="I264" s="248">
        <v>1.790131547041517E-4</v>
      </c>
      <c r="J264" s="247">
        <v>0.11376302086694999</v>
      </c>
      <c r="K264" s="245">
        <v>1.7448628446377443</v>
      </c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</row>
    <row r="265" spans="3:23">
      <c r="C265" s="243">
        <v>3</v>
      </c>
      <c r="D265" s="243">
        <v>3200</v>
      </c>
      <c r="E265" s="243">
        <v>10000</v>
      </c>
      <c r="F265" s="250">
        <v>7.4154096471781093E-5</v>
      </c>
      <c r="G265" s="248">
        <v>3.1730782408760021E-4</v>
      </c>
      <c r="H265" s="244">
        <v>0.41347101327231123</v>
      </c>
      <c r="I265" s="248">
        <v>1.4346221068322983E-4</v>
      </c>
      <c r="J265" s="247">
        <v>0.13231072424713961</v>
      </c>
      <c r="K265" s="245">
        <v>1.4744641112666561</v>
      </c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</row>
    <row r="266" spans="3:23">
      <c r="C266" s="243">
        <v>2</v>
      </c>
      <c r="D266" s="243">
        <v>3200</v>
      </c>
      <c r="E266" s="243">
        <v>10000</v>
      </c>
      <c r="F266" s="250">
        <v>1.0446567701458468E-4</v>
      </c>
      <c r="G266" s="248">
        <v>2.4315372761581913E-4</v>
      </c>
      <c r="H266" s="244">
        <v>0.47884031696632889</v>
      </c>
      <c r="I266" s="248">
        <v>1.0211510935599871E-4</v>
      </c>
      <c r="J266" s="247">
        <v>0.15322890142922524</v>
      </c>
      <c r="K266" s="245">
        <v>1.1048602783098171</v>
      </c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</row>
    <row r="267" spans="3:23">
      <c r="C267" s="23">
        <v>1</v>
      </c>
      <c r="D267" s="23">
        <v>3200</v>
      </c>
      <c r="E267" s="23">
        <v>10000</v>
      </c>
      <c r="F267" s="57">
        <v>1.3868805060123445E-4</v>
      </c>
      <c r="G267" s="56">
        <v>1.3868805060123445E-4</v>
      </c>
      <c r="H267" s="35">
        <v>0.54231077659365812</v>
      </c>
      <c r="I267" s="56">
        <v>5.4231077659365812E-5</v>
      </c>
      <c r="J267" s="55">
        <v>0.17353944850997061</v>
      </c>
      <c r="K267" s="36">
        <v>0.61734121043392087</v>
      </c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</row>
    <row r="268" spans="3:23"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</row>
    <row r="272" spans="3:23">
      <c r="C272" s="18" t="s">
        <v>236</v>
      </c>
    </row>
    <row r="274" spans="3:15">
      <c r="J274" s="15" t="s">
        <v>237</v>
      </c>
    </row>
    <row r="275" spans="3:15" ht="29.25">
      <c r="C275" s="87" t="s">
        <v>136</v>
      </c>
      <c r="D275" s="87" t="s">
        <v>238</v>
      </c>
      <c r="E275" s="87" t="s">
        <v>239</v>
      </c>
      <c r="F275" s="129" t="s">
        <v>240</v>
      </c>
      <c r="G275" s="87" t="s">
        <v>241</v>
      </c>
      <c r="H275" s="87" t="s">
        <v>242</v>
      </c>
      <c r="I275" s="87" t="s">
        <v>243</v>
      </c>
    </row>
    <row r="276" spans="3:15">
      <c r="C276" s="2" t="s">
        <v>19</v>
      </c>
      <c r="D276" s="104">
        <v>100</v>
      </c>
      <c r="E276" s="60">
        <v>26</v>
      </c>
      <c r="F276" s="60">
        <v>4.7192305501184624</v>
      </c>
      <c r="G276" s="86">
        <v>2227.1136985171406</v>
      </c>
      <c r="H276" s="86">
        <v>122.69999430308002</v>
      </c>
      <c r="I276" s="286">
        <v>0.55567479634310679</v>
      </c>
      <c r="O276" s="82">
        <v>75</v>
      </c>
    </row>
    <row r="277" spans="3:15">
      <c r="C277" s="243">
        <v>5</v>
      </c>
      <c r="D277" s="82">
        <v>200</v>
      </c>
      <c r="E277" s="245">
        <v>16</v>
      </c>
      <c r="F277" s="245">
        <v>6.0783048922031533</v>
      </c>
      <c r="G277" s="249">
        <v>7389.1580725161575</v>
      </c>
      <c r="H277" s="249">
        <v>97.252878275250453</v>
      </c>
      <c r="I277" s="287"/>
      <c r="O277" s="82">
        <v>87.5</v>
      </c>
    </row>
    <row r="278" spans="3:15">
      <c r="C278" s="243">
        <v>4</v>
      </c>
      <c r="D278" s="82">
        <v>200</v>
      </c>
      <c r="E278" s="245">
        <v>16</v>
      </c>
      <c r="F278" s="245">
        <v>6.060165054726995</v>
      </c>
      <c r="G278" s="249">
        <v>7345.1200981068478</v>
      </c>
      <c r="H278" s="249">
        <v>96.962640875631919</v>
      </c>
      <c r="I278" s="287"/>
      <c r="O278" s="82">
        <v>87.5</v>
      </c>
    </row>
    <row r="279" spans="3:15">
      <c r="C279" s="243">
        <v>3</v>
      </c>
      <c r="D279" s="82">
        <v>200</v>
      </c>
      <c r="E279" s="245">
        <v>15</v>
      </c>
      <c r="F279" s="245">
        <v>6.1234898588577735</v>
      </c>
      <c r="G279" s="249">
        <v>7499.4256103068001</v>
      </c>
      <c r="H279" s="249">
        <v>91.85234788286661</v>
      </c>
      <c r="I279" s="287"/>
      <c r="O279" s="82">
        <v>87.5</v>
      </c>
    </row>
    <row r="280" spans="3:15">
      <c r="C280" s="243">
        <v>2</v>
      </c>
      <c r="D280" s="82">
        <v>200</v>
      </c>
      <c r="E280" s="245">
        <v>17</v>
      </c>
      <c r="F280" s="245">
        <v>7.1350734378363354</v>
      </c>
      <c r="G280" s="249">
        <v>10181.854592663523</v>
      </c>
      <c r="H280" s="249">
        <v>121.29624844321771</v>
      </c>
      <c r="I280" s="287"/>
      <c r="O280" s="82">
        <v>87.5</v>
      </c>
    </row>
    <row r="281" spans="3:15">
      <c r="C281" s="23">
        <v>1</v>
      </c>
      <c r="D281" s="83">
        <v>200</v>
      </c>
      <c r="E281" s="36">
        <v>9</v>
      </c>
      <c r="F281" s="36">
        <v>7.460974930403296</v>
      </c>
      <c r="G281" s="54">
        <v>11133.229382421294</v>
      </c>
      <c r="H281" s="54">
        <v>67.148774373629664</v>
      </c>
      <c r="I281" s="288"/>
      <c r="O281" s="82">
        <v>87.5</v>
      </c>
    </row>
    <row r="287" spans="3:15" ht="15">
      <c r="C287" s="18" t="s">
        <v>244</v>
      </c>
    </row>
    <row r="289" spans="3:13">
      <c r="D289" s="16"/>
      <c r="G289" s="16"/>
      <c r="H289" s="84"/>
    </row>
    <row r="290" spans="3:13">
      <c r="D290" s="16"/>
      <c r="G290" s="16"/>
      <c r="H290" s="85"/>
    </row>
    <row r="291" spans="3:13" ht="25.5">
      <c r="C291" s="87" t="s">
        <v>136</v>
      </c>
      <c r="D291" s="87" t="s">
        <v>216</v>
      </c>
      <c r="E291" s="87" t="s">
        <v>94</v>
      </c>
      <c r="F291" s="87" t="s">
        <v>245</v>
      </c>
      <c r="G291" s="87" t="s">
        <v>246</v>
      </c>
      <c r="H291" s="87" t="s">
        <v>247</v>
      </c>
      <c r="I291" s="87" t="s">
        <v>248</v>
      </c>
      <c r="J291" s="87" t="s">
        <v>85</v>
      </c>
      <c r="K291" s="87" t="s">
        <v>249</v>
      </c>
      <c r="L291" s="202" t="s">
        <v>250</v>
      </c>
      <c r="M291" s="202" t="s">
        <v>251</v>
      </c>
    </row>
    <row r="292" spans="3:13">
      <c r="C292" s="2" t="s">
        <v>19</v>
      </c>
      <c r="D292" s="59">
        <v>2.6</v>
      </c>
      <c r="E292" s="2">
        <v>3430</v>
      </c>
      <c r="F292" s="86">
        <v>9500</v>
      </c>
      <c r="G292" s="86">
        <v>42560</v>
      </c>
      <c r="H292" s="86">
        <v>10000</v>
      </c>
      <c r="I292" s="86">
        <v>6900</v>
      </c>
      <c r="J292" s="61">
        <v>0.14324899280424908</v>
      </c>
      <c r="K292" s="60">
        <v>0.13385839450800915</v>
      </c>
      <c r="L292" s="60">
        <v>10129.571421777971</v>
      </c>
      <c r="M292" s="290">
        <v>13427.638501573883</v>
      </c>
    </row>
    <row r="293" spans="3:13">
      <c r="C293" s="243">
        <v>5</v>
      </c>
      <c r="D293" s="244">
        <v>4.2</v>
      </c>
      <c r="E293" s="243">
        <v>3200</v>
      </c>
      <c r="F293" s="249">
        <v>9500</v>
      </c>
      <c r="G293" s="249">
        <v>42560</v>
      </c>
      <c r="H293" s="249">
        <v>10000</v>
      </c>
      <c r="I293" s="249">
        <v>6900</v>
      </c>
      <c r="J293" s="247">
        <v>0.25958582275917919</v>
      </c>
      <c r="K293" s="245">
        <v>0.25873132814645311</v>
      </c>
      <c r="L293" s="245">
        <v>10225.661391829337</v>
      </c>
      <c r="M293" s="291"/>
    </row>
    <row r="294" spans="3:13">
      <c r="C294" s="243">
        <v>4</v>
      </c>
      <c r="D294" s="244">
        <v>5.8</v>
      </c>
      <c r="E294" s="243">
        <v>3200</v>
      </c>
      <c r="F294" s="249">
        <v>9500</v>
      </c>
      <c r="G294" s="249">
        <v>63840</v>
      </c>
      <c r="H294" s="249">
        <v>10000</v>
      </c>
      <c r="I294" s="249">
        <v>6900</v>
      </c>
      <c r="J294" s="247">
        <v>0.17821361382895484</v>
      </c>
      <c r="K294" s="245">
        <v>0.35550944020921871</v>
      </c>
      <c r="L294" s="245">
        <v>13713.744625108871</v>
      </c>
      <c r="M294" s="291"/>
    </row>
    <row r="295" spans="3:13">
      <c r="C295" s="243">
        <v>3</v>
      </c>
      <c r="D295" s="244">
        <v>7.3</v>
      </c>
      <c r="E295" s="243">
        <v>3200</v>
      </c>
      <c r="F295" s="249">
        <v>9500</v>
      </c>
      <c r="G295" s="249">
        <v>85120</v>
      </c>
      <c r="H295" s="249">
        <v>10000</v>
      </c>
      <c r="I295" s="249">
        <v>6900</v>
      </c>
      <c r="J295" s="247">
        <v>0.12547236730010577</v>
      </c>
      <c r="K295" s="245">
        <v>0.41347101327231123</v>
      </c>
      <c r="L295" s="245">
        <v>16144.71656198185</v>
      </c>
      <c r="M295" s="291"/>
    </row>
    <row r="296" spans="3:13">
      <c r="C296" s="243">
        <v>2</v>
      </c>
      <c r="D296" s="244">
        <v>9</v>
      </c>
      <c r="E296" s="243">
        <v>3200</v>
      </c>
      <c r="F296" s="249">
        <v>9500</v>
      </c>
      <c r="G296" s="249">
        <v>106400</v>
      </c>
      <c r="H296" s="249">
        <v>10000</v>
      </c>
      <c r="I296" s="249">
        <v>6900</v>
      </c>
      <c r="J296" s="247">
        <v>0.19071611468021329</v>
      </c>
      <c r="K296" s="245">
        <v>0.47884031696632889</v>
      </c>
      <c r="L296" s="245">
        <v>15377.053184581457</v>
      </c>
      <c r="M296" s="291"/>
    </row>
    <row r="297" spans="3:13">
      <c r="C297" s="23">
        <v>1</v>
      </c>
      <c r="D297" s="35">
        <v>9.9</v>
      </c>
      <c r="E297" s="23">
        <v>3200</v>
      </c>
      <c r="F297" s="54">
        <v>9500</v>
      </c>
      <c r="G297" s="54">
        <v>127680</v>
      </c>
      <c r="H297" s="54">
        <v>10000</v>
      </c>
      <c r="I297" s="54">
        <v>6900</v>
      </c>
      <c r="J297" s="55">
        <v>0.23076649876305808</v>
      </c>
      <c r="K297" s="36">
        <v>0.54231077659365812</v>
      </c>
      <c r="L297" s="36">
        <v>14975.08382416381</v>
      </c>
      <c r="M297" s="292"/>
    </row>
    <row r="298" spans="3:13">
      <c r="D298" s="16"/>
      <c r="G298" s="16"/>
      <c r="H298" s="84"/>
    </row>
    <row r="299" spans="3:13">
      <c r="D299" s="16"/>
      <c r="G299" s="16"/>
      <c r="H299" s="84"/>
    </row>
    <row r="300" spans="3:13">
      <c r="D300" s="16"/>
      <c r="G300" s="16"/>
      <c r="H300" s="84"/>
    </row>
    <row r="301" spans="3:13">
      <c r="D301" s="16"/>
      <c r="G301" s="16"/>
      <c r="H301" s="84"/>
    </row>
    <row r="302" spans="3:13">
      <c r="D302" s="16"/>
      <c r="G302" s="16"/>
      <c r="H302" s="84"/>
    </row>
    <row r="310" spans="4:8">
      <c r="D310" s="16"/>
      <c r="G310" s="16"/>
      <c r="H310" s="84"/>
    </row>
  </sheetData>
  <mergeCells count="59">
    <mergeCell ref="M292:M297"/>
    <mergeCell ref="C92:C93"/>
    <mergeCell ref="D92:I92"/>
    <mergeCell ref="J92:K92"/>
    <mergeCell ref="L92:M92"/>
    <mergeCell ref="N92:P92"/>
    <mergeCell ref="I276:I281"/>
    <mergeCell ref="C80:C81"/>
    <mergeCell ref="D80:F80"/>
    <mergeCell ref="G80:H80"/>
    <mergeCell ref="I80:K80"/>
    <mergeCell ref="L80:O80"/>
    <mergeCell ref="P80:R80"/>
    <mergeCell ref="N67:P67"/>
    <mergeCell ref="C47:V47"/>
    <mergeCell ref="C48:H48"/>
    <mergeCell ref="I48:J48"/>
    <mergeCell ref="L48:Q48"/>
    <mergeCell ref="C56:V56"/>
    <mergeCell ref="C57:H57"/>
    <mergeCell ref="I57:J57"/>
    <mergeCell ref="L57:Q57"/>
    <mergeCell ref="C67:C68"/>
    <mergeCell ref="D67:D68"/>
    <mergeCell ref="E67:G67"/>
    <mergeCell ref="H67:J67"/>
    <mergeCell ref="K67:M67"/>
    <mergeCell ref="Y25:AD25"/>
    <mergeCell ref="C38:V38"/>
    <mergeCell ref="C39:H39"/>
    <mergeCell ref="I39:J39"/>
    <mergeCell ref="L39:Q39"/>
    <mergeCell ref="J25:J26"/>
    <mergeCell ref="K25:K26"/>
    <mergeCell ref="L25:L26"/>
    <mergeCell ref="M25:M26"/>
    <mergeCell ref="N25:N26"/>
    <mergeCell ref="O25:O26"/>
    <mergeCell ref="N9:O9"/>
    <mergeCell ref="P9:Q9"/>
    <mergeCell ref="R9:S9"/>
    <mergeCell ref="C25:C26"/>
    <mergeCell ref="D25:D26"/>
    <mergeCell ref="E25:E26"/>
    <mergeCell ref="F25:F26"/>
    <mergeCell ref="G25:G26"/>
    <mergeCell ref="H25:H26"/>
    <mergeCell ref="I25:I26"/>
    <mergeCell ref="P25:P26"/>
    <mergeCell ref="H1:M1"/>
    <mergeCell ref="H2:M2"/>
    <mergeCell ref="H3:J3"/>
    <mergeCell ref="L3:M3"/>
    <mergeCell ref="C9:C10"/>
    <mergeCell ref="D9:E9"/>
    <mergeCell ref="F9:G9"/>
    <mergeCell ref="H9:I9"/>
    <mergeCell ref="J9:K9"/>
    <mergeCell ref="L9:M9"/>
  </mergeCells>
  <dataValidations count="11">
    <dataValidation type="list" allowBlank="1" showInputMessage="1" showErrorMessage="1" sqref="F21" xr:uid="{AE49CB1F-C363-42A9-82EF-372D4DA26E72}">
      <formula1>$F$9:$Z$9</formula1>
    </dataValidation>
    <dataValidation type="list" allowBlank="1" showInputMessage="1" showErrorMessage="1" sqref="AP40:AP45" xr:uid="{AAD5BAB1-9AFE-47E9-AB47-45156B653937}">
      <formula1>"S.S.,No.1 / No.2,No.3 / Stud"</formula1>
    </dataValidation>
    <dataValidation type="list" allowBlank="1" showInputMessage="1" showErrorMessage="1" sqref="H41:H46" xr:uid="{833E706E-37A7-4642-883B-24E985EAD073}">
      <formula1>"150,125,100,75,50"</formula1>
    </dataValidation>
    <dataValidation type="list" allowBlank="1" showInputMessage="1" showErrorMessage="1" sqref="E41:E46" xr:uid="{2CD55C1B-422C-4FC6-9571-D2A3EBE25E06}">
      <formula1>"B.S,O.S"</formula1>
    </dataValidation>
    <dataValidation type="list" allowBlank="1" showInputMessage="1" showErrorMessage="1" sqref="D41:D46" xr:uid="{4117425C-73F6-4DF9-B9D1-E0A7F362AAA2}">
      <formula1>"9.5,12.5,15.5,18.5"</formula1>
    </dataValidation>
    <dataValidation type="list" allowBlank="1" showInputMessage="1" showErrorMessage="1" sqref="M41:M46" xr:uid="{19865CE5-DBCF-4357-8927-BDA1658A1C70}">
      <formula1>"SR4,SR5,SR6,SR7,SR8,SR9,SR10,SR11,SR12,SR13,SR14,SR16,SR4H,SR5H,SR6H,SR7H,SR8H,SR9H,SR10H,SR11H,SR12H,SR14H,SR16H"</formula1>
    </dataValidation>
    <dataValidation type="list" allowBlank="1" showInputMessage="1" showErrorMessage="1" sqref="E69:E74" xr:uid="{06E8EA11-C782-4B95-A6EC-B7CEA7E254EA}">
      <formula1>"A35,LTP4,LS70,LS90"</formula1>
    </dataValidation>
    <dataValidation type="list" allowBlank="1" showInputMessage="1" showErrorMessage="1" sqref="L94:L99" xr:uid="{0A45E86C-264E-4E55-9377-6F582A333A63}">
      <formula1>"BPRTUD3-4B,BPRTUD5-6B,BPRTUD7-8C,BPRTUD7-8B"</formula1>
    </dataValidation>
    <dataValidation type="list" allowBlank="1" showInputMessage="1" showErrorMessage="1" sqref="N94:N99" xr:uid="{928E00CA-C527-4284-8E77-FE7519FF2541}">
      <formula1>"ATUD6-2, ATUD9, ATUD9-2, ATUD9-3, ATUD14, TUD10,                    RTUD4, RTUD5, RTUD6,                    CTUD55, CTUD65, CTUD66, CTUD75, CTUD76, CTUD77,                    CTUD87, CTUD88, CTUD97, CTUD98, CTUD99"</formula1>
    </dataValidation>
    <dataValidation type="list" allowBlank="1" showInputMessage="1" showErrorMessage="1" sqref="R41:R46" xr:uid="{6FF5943F-2FD9-4698-9CD4-14516C1A5A45}">
      <formula1>"2x6,2x4"</formula1>
    </dataValidation>
    <dataValidation type="list" allowBlank="1" showInputMessage="1" showErrorMessage="1" sqref="T25" xr:uid="{F128D4BC-8C8F-4ABF-9241-2AFE9CE0DBB9}">
      <formula1>"symmetric, Asym_2, Asym_3, Asym_4, Asym_6"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4" r:id="rId3" name="Button 2">
              <controlPr defaultSize="0" print="0" autoFill="0" autoPict="0">
                <anchor moveWithCells="1" sizeWithCells="1">
                  <from>
                    <xdr:col>11</xdr:col>
                    <xdr:colOff>628650</xdr:colOff>
                    <xdr:row>33</xdr:row>
                    <xdr:rowOff>152400</xdr:rowOff>
                  </from>
                  <to>
                    <xdr:col>14</xdr:col>
                    <xdr:colOff>704850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4" name="Button 3">
              <controlPr defaultSize="0" print="0" autoFill="0" autoPict="0">
                <anchor moveWithCells="1" sizeWithCells="1">
                  <from>
                    <xdr:col>15</xdr:col>
                    <xdr:colOff>228600</xdr:colOff>
                    <xdr:row>33</xdr:row>
                    <xdr:rowOff>133350</xdr:rowOff>
                  </from>
                  <to>
                    <xdr:col>18</xdr:col>
                    <xdr:colOff>371475</xdr:colOff>
                    <xdr:row>35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6" r:id="rId5" name="Button 4">
              <controlPr defaultSize="0" print="0" autoFill="0" autoPict="0" macro="[0]!wallanalysis">
                <anchor moveWithCells="1" sizeWithCells="1">
                  <from>
                    <xdr:col>4</xdr:col>
                    <xdr:colOff>1047750</xdr:colOff>
                    <xdr:row>33</xdr:row>
                    <xdr:rowOff>171450</xdr:rowOff>
                  </from>
                  <to>
                    <xdr:col>7</xdr:col>
                    <xdr:colOff>266700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9" r:id="rId6" name="Button 7">
              <controlPr defaultSize="0" print="0" autoFill="0" autoPict="0" macro="[0]!CopyTableToNext">
                <anchor moveWithCells="1" sizeWithCells="1">
                  <from>
                    <xdr:col>8</xdr:col>
                    <xdr:colOff>47625</xdr:colOff>
                    <xdr:row>33</xdr:row>
                    <xdr:rowOff>161925</xdr:rowOff>
                  </from>
                  <to>
                    <xdr:col>11</xdr:col>
                    <xdr:colOff>133350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4" r:id="rId7" name="Button 12">
              <controlPr defaultSize="0" print="0" autoFill="0" autoPict="0">
                <anchor moveWithCells="1" sizeWithCells="1">
                  <from>
                    <xdr:col>18</xdr:col>
                    <xdr:colOff>723900</xdr:colOff>
                    <xdr:row>33</xdr:row>
                    <xdr:rowOff>133350</xdr:rowOff>
                  </from>
                  <to>
                    <xdr:col>22</xdr:col>
                    <xdr:colOff>152400</xdr:colOff>
                    <xdr:row>35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0851C-3F77-4EF6-9FA2-03865F1F32CF}">
  <sheetPr codeName="Sheet6"/>
  <dimension ref="A1:BE310"/>
  <sheetViews>
    <sheetView showGridLines="0" topLeftCell="A40" workbookViewId="0">
      <selection activeCell="C59" sqref="C59"/>
    </sheetView>
  </sheetViews>
  <sheetFormatPr defaultRowHeight="14.25"/>
  <cols>
    <col min="1" max="3" width="9.140625" style="15"/>
    <col min="4" max="4" width="9.7109375" style="15" customWidth="1"/>
    <col min="5" max="5" width="16" style="15" customWidth="1"/>
    <col min="6" max="6" width="15.42578125" style="15" customWidth="1"/>
    <col min="7" max="7" width="15.85546875" style="15" bestFit="1" customWidth="1"/>
    <col min="8" max="8" width="11.5703125" style="15" customWidth="1"/>
    <col min="9" max="9" width="13.140625" style="15" bestFit="1" customWidth="1"/>
    <col min="10" max="10" width="15.140625" style="15" bestFit="1" customWidth="1"/>
    <col min="11" max="11" width="9.140625" style="15"/>
    <col min="12" max="12" width="13" style="15" customWidth="1"/>
    <col min="13" max="13" width="14" style="15" bestFit="1" customWidth="1"/>
    <col min="14" max="14" width="10.5703125" style="15" bestFit="1" customWidth="1"/>
    <col min="15" max="15" width="13.140625" style="15" bestFit="1" customWidth="1"/>
    <col min="16" max="16" width="15.28515625" style="15" bestFit="1" customWidth="1"/>
    <col min="17" max="20" width="11.85546875" style="15" bestFit="1" customWidth="1"/>
    <col min="21" max="21" width="11" style="15" bestFit="1" customWidth="1"/>
    <col min="22" max="22" width="15" style="15" bestFit="1" customWidth="1"/>
    <col min="23" max="24" width="9.140625" style="15"/>
    <col min="25" max="25" width="10.5703125" style="15" customWidth="1"/>
    <col min="26" max="40" width="9.140625" style="15"/>
    <col min="41" max="41" width="14.5703125" style="15" bestFit="1" customWidth="1"/>
    <col min="42" max="46" width="9.140625" style="15"/>
    <col min="47" max="47" width="17.5703125" style="15" bestFit="1" customWidth="1"/>
    <col min="48" max="16384" width="9.140625" style="15"/>
  </cols>
  <sheetData>
    <row r="1" spans="1:26">
      <c r="A1" s="17"/>
      <c r="B1" s="17"/>
      <c r="C1" s="17"/>
      <c r="D1" s="17"/>
      <c r="E1" s="17"/>
      <c r="F1" s="105"/>
      <c r="G1" s="206" t="s">
        <v>254</v>
      </c>
      <c r="H1" s="253" t="s">
        <v>396</v>
      </c>
      <c r="I1" s="254"/>
      <c r="J1" s="254"/>
      <c r="K1" s="254"/>
      <c r="L1" s="254"/>
      <c r="M1" s="254"/>
      <c r="N1" s="17"/>
    </row>
    <row r="2" spans="1:26">
      <c r="A2" s="17"/>
      <c r="B2" s="17"/>
      <c r="C2" s="17"/>
      <c r="D2" s="17"/>
      <c r="E2" s="17"/>
      <c r="F2" s="105"/>
      <c r="G2" s="206" t="s">
        <v>256</v>
      </c>
      <c r="H2" s="253" t="s">
        <v>397</v>
      </c>
      <c r="I2" s="253"/>
      <c r="J2" s="253"/>
      <c r="K2" s="253"/>
      <c r="L2" s="253"/>
      <c r="M2" s="253"/>
      <c r="N2" s="17"/>
    </row>
    <row r="3" spans="1:26">
      <c r="A3" s="17"/>
      <c r="B3" s="17"/>
      <c r="C3" s="17"/>
      <c r="D3" s="17"/>
      <c r="E3" s="17"/>
      <c r="F3" s="105"/>
      <c r="G3" s="206" t="s">
        <v>258</v>
      </c>
      <c r="H3" s="253" t="s">
        <v>317</v>
      </c>
      <c r="I3" s="253"/>
      <c r="J3" s="253"/>
      <c r="K3" s="106" t="s">
        <v>259</v>
      </c>
      <c r="L3" s="255">
        <f ca="1">NOW()</f>
        <v>45824.664205324072</v>
      </c>
      <c r="M3" s="255"/>
      <c r="N3" s="17"/>
    </row>
    <row r="4" spans="1:26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</row>
    <row r="5" spans="1:26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</row>
    <row r="6" spans="1:26" ht="15">
      <c r="C6" s="19" t="s">
        <v>398</v>
      </c>
      <c r="E6" s="16" t="s">
        <v>116</v>
      </c>
      <c r="F6" s="43">
        <v>6</v>
      </c>
    </row>
    <row r="7" spans="1:26" ht="15">
      <c r="C7" s="19"/>
    </row>
    <row r="8" spans="1:26" ht="7.5" customHeight="1"/>
    <row r="9" spans="1:26" ht="25.5" customHeight="1">
      <c r="C9" s="263" t="s">
        <v>0</v>
      </c>
      <c r="D9" s="263" t="s">
        <v>1</v>
      </c>
      <c r="E9" s="263"/>
      <c r="F9" s="263" t="s">
        <v>2</v>
      </c>
      <c r="G9" s="263"/>
      <c r="H9" s="263" t="s">
        <v>3</v>
      </c>
      <c r="I9" s="263"/>
      <c r="J9" s="263" t="s">
        <v>4</v>
      </c>
      <c r="K9" s="263"/>
      <c r="L9" s="263" t="s">
        <v>5</v>
      </c>
      <c r="M9" s="263"/>
      <c r="N9" s="263" t="s">
        <v>6</v>
      </c>
      <c r="O9" s="263"/>
      <c r="P9" s="263" t="s">
        <v>7</v>
      </c>
      <c r="Q9" s="263"/>
      <c r="R9" s="263" t="s">
        <v>8</v>
      </c>
      <c r="S9" s="263"/>
      <c r="T9" s="38"/>
      <c r="U9" s="38"/>
      <c r="V9" s="38"/>
      <c r="W9" s="38"/>
      <c r="X9" s="38"/>
      <c r="Y9" s="38"/>
      <c r="Z9" s="38"/>
    </row>
    <row r="10" spans="1:26" ht="27">
      <c r="C10" s="264"/>
      <c r="D10" s="126" t="s">
        <v>9</v>
      </c>
      <c r="E10" s="126" t="s">
        <v>10</v>
      </c>
      <c r="F10" s="126" t="s">
        <v>11</v>
      </c>
      <c r="G10" s="126" t="s">
        <v>12</v>
      </c>
      <c r="H10" s="126" t="s">
        <v>11</v>
      </c>
      <c r="I10" s="126" t="s">
        <v>12</v>
      </c>
      <c r="J10" s="126" t="s">
        <v>13</v>
      </c>
      <c r="K10" s="126" t="s">
        <v>14</v>
      </c>
      <c r="L10" s="126" t="s">
        <v>15</v>
      </c>
      <c r="M10" s="126" t="s">
        <v>16</v>
      </c>
      <c r="N10" s="126" t="s">
        <v>15</v>
      </c>
      <c r="O10" s="126" t="s">
        <v>16</v>
      </c>
      <c r="P10" s="126" t="s">
        <v>13</v>
      </c>
      <c r="Q10" s="126" t="s">
        <v>14</v>
      </c>
      <c r="R10" s="126" t="s">
        <v>17</v>
      </c>
      <c r="S10" s="126" t="s">
        <v>18</v>
      </c>
      <c r="T10" s="75"/>
      <c r="U10" s="26"/>
      <c r="V10" s="26"/>
      <c r="W10" s="75"/>
      <c r="X10" s="26"/>
      <c r="Y10" s="26"/>
      <c r="Z10" s="75"/>
    </row>
    <row r="11" spans="1:26">
      <c r="C11" s="3" t="s">
        <v>19</v>
      </c>
      <c r="D11" s="4">
        <v>3.43</v>
      </c>
      <c r="E11" s="4">
        <v>10</v>
      </c>
      <c r="F11" s="4">
        <v>12.3</v>
      </c>
      <c r="G11" s="3">
        <f>F11</f>
        <v>12.3</v>
      </c>
      <c r="H11" s="5">
        <v>26</v>
      </c>
      <c r="I11" s="3">
        <f>H11</f>
        <v>26</v>
      </c>
      <c r="J11" s="11">
        <f>MAX(F11,H11)</f>
        <v>26</v>
      </c>
      <c r="K11" s="3">
        <f>J11</f>
        <v>26</v>
      </c>
      <c r="L11" s="4">
        <v>12.3</v>
      </c>
      <c r="M11" s="3">
        <f>L11</f>
        <v>12.3</v>
      </c>
      <c r="N11" s="4">
        <v>28</v>
      </c>
      <c r="O11" s="3">
        <f>N11</f>
        <v>28</v>
      </c>
      <c r="P11" s="11">
        <f>MAX(L11,N11)</f>
        <v>28</v>
      </c>
      <c r="Q11" s="3">
        <f>P11</f>
        <v>28</v>
      </c>
      <c r="R11" s="6">
        <v>30</v>
      </c>
      <c r="S11" s="7">
        <v>13.6</v>
      </c>
      <c r="T11" s="20"/>
      <c r="U11" s="20"/>
      <c r="V11" s="20"/>
      <c r="W11" s="20"/>
      <c r="X11" s="20"/>
      <c r="Y11" s="141"/>
    </row>
    <row r="12" spans="1:26">
      <c r="C12" s="20">
        <v>5</v>
      </c>
      <c r="D12" s="43">
        <v>3.2</v>
      </c>
      <c r="E12" s="43">
        <v>10</v>
      </c>
      <c r="F12" s="43">
        <v>6.7</v>
      </c>
      <c r="G12" s="20">
        <f>F12+G11</f>
        <v>19</v>
      </c>
      <c r="H12" s="139">
        <v>16</v>
      </c>
      <c r="I12" s="20">
        <f>H12+I11</f>
        <v>42</v>
      </c>
      <c r="J12" s="142">
        <f t="shared" ref="J12:J16" si="0">MAX(F12,H12)</f>
        <v>16</v>
      </c>
      <c r="K12" s="20">
        <f>J12+K11</f>
        <v>42</v>
      </c>
      <c r="L12" s="43">
        <v>6.7</v>
      </c>
      <c r="M12" s="20">
        <f>L12+M11</f>
        <v>19</v>
      </c>
      <c r="N12" s="43">
        <v>23</v>
      </c>
      <c r="O12" s="20">
        <f>N12+O11</f>
        <v>51</v>
      </c>
      <c r="P12" s="142">
        <f t="shared" ref="P12:P16" si="1">MAX(L12,N12)</f>
        <v>23</v>
      </c>
      <c r="Q12" s="20">
        <f>P12+Q11</f>
        <v>51</v>
      </c>
      <c r="R12" s="140">
        <v>23</v>
      </c>
      <c r="S12" s="141">
        <v>26.799999999999997</v>
      </c>
      <c r="T12" s="20"/>
      <c r="U12" s="20"/>
      <c r="V12" s="20"/>
      <c r="W12" s="20"/>
      <c r="X12" s="20"/>
      <c r="Y12" s="141"/>
    </row>
    <row r="13" spans="1:26">
      <c r="C13" s="20">
        <v>4</v>
      </c>
      <c r="D13" s="43">
        <v>3.2</v>
      </c>
      <c r="E13" s="43">
        <v>10</v>
      </c>
      <c r="F13" s="43">
        <v>7.4</v>
      </c>
      <c r="G13" s="20">
        <f t="shared" ref="G13:G16" si="2">F13+G12</f>
        <v>26.4</v>
      </c>
      <c r="H13" s="139">
        <v>16</v>
      </c>
      <c r="I13" s="20">
        <f t="shared" ref="I13:I16" si="3">H13+I12</f>
        <v>58</v>
      </c>
      <c r="J13" s="142">
        <f t="shared" si="0"/>
        <v>16</v>
      </c>
      <c r="K13" s="20">
        <f t="shared" ref="K13:K16" si="4">J13+K12</f>
        <v>58</v>
      </c>
      <c r="L13" s="43">
        <v>7.4</v>
      </c>
      <c r="M13" s="20">
        <f t="shared" ref="M13:M16" si="5">L13+M12</f>
        <v>26.4</v>
      </c>
      <c r="N13" s="43">
        <v>28</v>
      </c>
      <c r="O13" s="20">
        <f t="shared" ref="O13:O16" si="6">N13+O12</f>
        <v>79</v>
      </c>
      <c r="P13" s="142">
        <f t="shared" si="1"/>
        <v>28</v>
      </c>
      <c r="Q13" s="20">
        <f t="shared" ref="Q13:Q16" si="7">P13+Q12</f>
        <v>79</v>
      </c>
      <c r="R13" s="140">
        <v>29</v>
      </c>
      <c r="S13" s="141">
        <v>37.4</v>
      </c>
      <c r="T13" s="20"/>
      <c r="U13" s="20"/>
      <c r="V13" s="20"/>
      <c r="W13" s="20"/>
      <c r="X13" s="20"/>
      <c r="Y13" s="141"/>
    </row>
    <row r="14" spans="1:26">
      <c r="C14" s="20">
        <v>3</v>
      </c>
      <c r="D14" s="43">
        <v>3.2</v>
      </c>
      <c r="E14" s="43">
        <v>10</v>
      </c>
      <c r="F14" s="43">
        <v>7.1</v>
      </c>
      <c r="G14" s="20">
        <f t="shared" si="2"/>
        <v>33.5</v>
      </c>
      <c r="H14" s="139">
        <v>15</v>
      </c>
      <c r="I14" s="20">
        <f t="shared" si="3"/>
        <v>73</v>
      </c>
      <c r="J14" s="142">
        <f t="shared" si="0"/>
        <v>15</v>
      </c>
      <c r="K14" s="20">
        <f t="shared" si="4"/>
        <v>73</v>
      </c>
      <c r="L14" s="43">
        <v>7.1</v>
      </c>
      <c r="M14" s="20">
        <f t="shared" si="5"/>
        <v>33.5</v>
      </c>
      <c r="N14" s="43">
        <v>20</v>
      </c>
      <c r="O14" s="20">
        <f t="shared" si="6"/>
        <v>99</v>
      </c>
      <c r="P14" s="142">
        <f t="shared" si="1"/>
        <v>20</v>
      </c>
      <c r="Q14" s="20">
        <f t="shared" si="7"/>
        <v>99</v>
      </c>
      <c r="R14" s="140">
        <v>20</v>
      </c>
      <c r="S14" s="141">
        <v>45.3</v>
      </c>
      <c r="T14" s="20"/>
      <c r="U14" s="20"/>
      <c r="V14" s="20"/>
      <c r="W14" s="20"/>
      <c r="X14" s="20"/>
      <c r="Y14" s="141"/>
    </row>
    <row r="15" spans="1:26">
      <c r="C15" s="20">
        <v>2</v>
      </c>
      <c r="D15" s="43">
        <v>3.2</v>
      </c>
      <c r="E15" s="43">
        <v>10</v>
      </c>
      <c r="F15" s="43">
        <v>7.8</v>
      </c>
      <c r="G15" s="20">
        <f t="shared" si="2"/>
        <v>41.3</v>
      </c>
      <c r="H15" s="139">
        <v>17</v>
      </c>
      <c r="I15" s="20">
        <f t="shared" si="3"/>
        <v>90</v>
      </c>
      <c r="J15" s="142">
        <f t="shared" si="0"/>
        <v>17</v>
      </c>
      <c r="K15" s="20">
        <f t="shared" si="4"/>
        <v>90</v>
      </c>
      <c r="L15" s="43">
        <v>7.8</v>
      </c>
      <c r="M15" s="20">
        <f t="shared" si="5"/>
        <v>41.3</v>
      </c>
      <c r="N15" s="43">
        <v>13</v>
      </c>
      <c r="O15" s="20">
        <f t="shared" si="6"/>
        <v>112</v>
      </c>
      <c r="P15" s="142">
        <f t="shared" si="1"/>
        <v>13</v>
      </c>
      <c r="Q15" s="20">
        <f t="shared" si="7"/>
        <v>112</v>
      </c>
      <c r="R15" s="140">
        <v>14</v>
      </c>
      <c r="S15" s="141">
        <v>50.599999999999994</v>
      </c>
      <c r="T15" s="20"/>
      <c r="U15" s="20"/>
      <c r="V15" s="20"/>
      <c r="W15" s="20"/>
      <c r="X15" s="20"/>
      <c r="Y15" s="141"/>
    </row>
    <row r="16" spans="1:26">
      <c r="C16" s="21">
        <v>1</v>
      </c>
      <c r="D16" s="33">
        <v>3.2</v>
      </c>
      <c r="E16" s="33">
        <v>10</v>
      </c>
      <c r="F16" s="33">
        <v>4.3</v>
      </c>
      <c r="G16" s="21">
        <f t="shared" si="2"/>
        <v>45.599999999999994</v>
      </c>
      <c r="H16" s="31">
        <v>9</v>
      </c>
      <c r="I16" s="21">
        <f t="shared" si="3"/>
        <v>99</v>
      </c>
      <c r="J16" s="50">
        <f t="shared" si="0"/>
        <v>9</v>
      </c>
      <c r="K16" s="21">
        <f t="shared" si="4"/>
        <v>99</v>
      </c>
      <c r="L16" s="33">
        <v>4.3</v>
      </c>
      <c r="M16" s="21">
        <f t="shared" si="5"/>
        <v>45.599999999999994</v>
      </c>
      <c r="N16" s="33">
        <v>7</v>
      </c>
      <c r="O16" s="21">
        <f t="shared" si="6"/>
        <v>119</v>
      </c>
      <c r="P16" s="50">
        <f t="shared" si="1"/>
        <v>7</v>
      </c>
      <c r="Q16" s="21">
        <f t="shared" si="7"/>
        <v>119</v>
      </c>
      <c r="R16" s="32">
        <v>7</v>
      </c>
      <c r="S16" s="39">
        <v>53.199999999999996</v>
      </c>
      <c r="T16" s="20"/>
      <c r="U16" s="20"/>
      <c r="V16" s="20"/>
      <c r="W16" s="20"/>
      <c r="X16" s="20"/>
      <c r="Y16" s="141"/>
    </row>
    <row r="17" spans="3:57">
      <c r="C17" s="20"/>
      <c r="D17" s="43"/>
      <c r="E17" s="43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141"/>
    </row>
    <row r="18" spans="3:57"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</row>
    <row r="20" spans="3:57">
      <c r="I20" s="89"/>
      <c r="J20" s="89"/>
      <c r="K20" s="89"/>
      <c r="L20" s="89"/>
      <c r="M20" s="89"/>
      <c r="N20" s="89"/>
      <c r="P20" s="88"/>
      <c r="Q20" s="88"/>
      <c r="R20" s="88"/>
      <c r="S20" s="88"/>
      <c r="T20" s="88"/>
      <c r="U20" s="88"/>
    </row>
    <row r="21" spans="3:57" ht="15">
      <c r="C21" s="19" t="s">
        <v>252</v>
      </c>
      <c r="F21" s="30" t="s">
        <v>3</v>
      </c>
      <c r="H21" s="18" t="s">
        <v>524</v>
      </c>
      <c r="I21" s="165"/>
      <c r="J21" s="251" t="s">
        <v>116</v>
      </c>
      <c r="K21" s="226">
        <v>1.2</v>
      </c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</row>
    <row r="23" spans="3:57" ht="15">
      <c r="C23" s="19" t="s">
        <v>20</v>
      </c>
      <c r="Q23" s="225" t="s">
        <v>435</v>
      </c>
    </row>
    <row r="25" spans="3:57" ht="15" customHeight="1">
      <c r="C25" s="265" t="s">
        <v>21</v>
      </c>
      <c r="D25" s="263" t="s">
        <v>22</v>
      </c>
      <c r="E25" s="263" t="s">
        <v>23</v>
      </c>
      <c r="F25" s="265" t="s">
        <v>24</v>
      </c>
      <c r="G25" s="263" t="s">
        <v>25</v>
      </c>
      <c r="H25" s="263" t="s">
        <v>26</v>
      </c>
      <c r="I25" s="263" t="s">
        <v>27</v>
      </c>
      <c r="J25" s="263" t="s">
        <v>28</v>
      </c>
      <c r="K25" s="263" t="s">
        <v>29</v>
      </c>
      <c r="L25" s="263" t="s">
        <v>30</v>
      </c>
      <c r="M25" s="263" t="s">
        <v>315</v>
      </c>
      <c r="N25" s="263" t="s">
        <v>316</v>
      </c>
      <c r="O25" s="263" t="s">
        <v>31</v>
      </c>
      <c r="P25" s="267"/>
      <c r="Q25" s="18" t="s">
        <v>434</v>
      </c>
      <c r="R25" s="18"/>
      <c r="S25" s="18"/>
      <c r="T25" s="226" t="s">
        <v>525</v>
      </c>
      <c r="U25" s="18"/>
      <c r="V25" s="25"/>
      <c r="W25" s="25"/>
      <c r="X25" s="18"/>
      <c r="Y25" s="268"/>
      <c r="Z25" s="268"/>
      <c r="AA25" s="268"/>
      <c r="AB25" s="268"/>
      <c r="AC25" s="268"/>
      <c r="AD25" s="268"/>
      <c r="AE25" s="25"/>
      <c r="AF25" s="25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</row>
    <row r="26" spans="3:57">
      <c r="C26" s="266"/>
      <c r="D26" s="264"/>
      <c r="E26" s="264"/>
      <c r="F26" s="266"/>
      <c r="G26" s="264"/>
      <c r="H26" s="264"/>
      <c r="I26" s="264"/>
      <c r="J26" s="264"/>
      <c r="K26" s="264"/>
      <c r="L26" s="264"/>
      <c r="M26" s="264"/>
      <c r="N26" s="264"/>
      <c r="O26" s="264"/>
      <c r="P26" s="267"/>
      <c r="Q26" s="26"/>
      <c r="R26" s="26"/>
      <c r="S26" s="26"/>
      <c r="T26" s="26"/>
      <c r="U26" s="26"/>
      <c r="V26" s="25"/>
      <c r="W26" s="25"/>
      <c r="X26" s="25"/>
      <c r="Y26" s="26"/>
      <c r="Z26" s="26"/>
      <c r="AA26" s="26"/>
      <c r="AB26" s="26"/>
      <c r="AC26" s="26"/>
      <c r="AD26" s="26"/>
      <c r="AE26" s="25"/>
      <c r="AF26" s="25"/>
      <c r="AG26" s="25"/>
      <c r="AH26" s="25"/>
      <c r="AI26" s="38"/>
      <c r="AJ26" s="38"/>
      <c r="AK26" s="38"/>
      <c r="AL26" s="38"/>
      <c r="AM26" s="38"/>
      <c r="AN26" s="38"/>
      <c r="AO26" s="38"/>
      <c r="AP26" s="38"/>
      <c r="AQ26" s="38"/>
      <c r="AR26" s="25"/>
      <c r="AS26" s="25"/>
      <c r="AT26" s="25"/>
      <c r="AU26" s="177"/>
      <c r="AV26" s="25"/>
      <c r="AW26" s="38"/>
      <c r="AX26" s="38"/>
      <c r="AY26" s="38"/>
      <c r="AZ26" s="38"/>
      <c r="BA26" s="38"/>
      <c r="BB26" s="38"/>
      <c r="BC26" s="38"/>
      <c r="BD26" s="38"/>
      <c r="BE26" s="38"/>
    </row>
    <row r="27" spans="3:57">
      <c r="C27" s="3" t="s">
        <v>32</v>
      </c>
      <c r="D27" s="6">
        <v>26</v>
      </c>
      <c r="E27" s="8">
        <v>26</v>
      </c>
      <c r="F27" s="9">
        <v>2.6</v>
      </c>
      <c r="G27" s="4">
        <v>0</v>
      </c>
      <c r="H27" s="4">
        <v>0</v>
      </c>
      <c r="I27" s="3">
        <v>10</v>
      </c>
      <c r="J27" s="8">
        <v>0</v>
      </c>
      <c r="K27" s="8">
        <v>0</v>
      </c>
      <c r="L27" s="8">
        <v>89.18</v>
      </c>
      <c r="M27" s="8">
        <v>10.701600000000001</v>
      </c>
      <c r="N27" s="8">
        <v>10.701600000000001</v>
      </c>
      <c r="O27" s="11">
        <f>M27</f>
        <v>10.701600000000001</v>
      </c>
      <c r="P27" s="205"/>
      <c r="Q27" s="30"/>
      <c r="R27" s="30"/>
      <c r="S27" s="30"/>
      <c r="T27" s="30"/>
      <c r="U27" s="30"/>
      <c r="V27" s="44"/>
      <c r="W27" s="20"/>
      <c r="X27" s="20"/>
      <c r="Y27" s="30"/>
      <c r="Z27" s="30"/>
      <c r="AA27" s="30"/>
      <c r="AB27" s="30"/>
      <c r="AC27" s="30"/>
      <c r="AD27" s="30"/>
      <c r="AE27" s="44"/>
      <c r="AF27" s="20"/>
      <c r="AG27" s="2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39"/>
      <c r="AS27" s="139"/>
      <c r="AT27" s="139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</row>
    <row r="28" spans="3:57">
      <c r="C28" s="20">
        <v>5</v>
      </c>
      <c r="D28" s="140">
        <v>16</v>
      </c>
      <c r="E28" s="42">
        <v>42</v>
      </c>
      <c r="F28" s="63">
        <v>4.2</v>
      </c>
      <c r="G28" s="43">
        <v>0</v>
      </c>
      <c r="H28" s="43">
        <v>0</v>
      </c>
      <c r="I28" s="20">
        <v>10</v>
      </c>
      <c r="J28" s="42">
        <v>0</v>
      </c>
      <c r="K28" s="42">
        <v>0</v>
      </c>
      <c r="L28" s="42">
        <v>223.58000000000004</v>
      </c>
      <c r="M28" s="42">
        <v>26.829600000000003</v>
      </c>
      <c r="N28" s="42">
        <v>26.829600000000003</v>
      </c>
      <c r="O28" s="142">
        <f>M28-M27</f>
        <v>16.128</v>
      </c>
      <c r="P28" s="51"/>
      <c r="Q28" s="30"/>
      <c r="R28" s="30"/>
      <c r="S28" s="30"/>
      <c r="T28" s="30"/>
      <c r="U28" s="30"/>
      <c r="V28" s="44"/>
      <c r="W28" s="20"/>
      <c r="X28" s="20"/>
      <c r="Y28" s="30"/>
      <c r="Z28" s="30"/>
      <c r="AA28" s="30"/>
      <c r="AB28" s="30"/>
      <c r="AC28" s="30"/>
      <c r="AD28" s="30"/>
      <c r="AE28" s="44"/>
      <c r="AF28" s="20"/>
      <c r="AG28" s="2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39"/>
      <c r="AS28" s="139"/>
      <c r="AT28" s="139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</row>
    <row r="29" spans="3:57">
      <c r="C29" s="20">
        <v>4</v>
      </c>
      <c r="D29" s="140">
        <v>16</v>
      </c>
      <c r="E29" s="42">
        <v>58</v>
      </c>
      <c r="F29" s="63">
        <v>5.8</v>
      </c>
      <c r="G29" s="43">
        <v>0</v>
      </c>
      <c r="H29" s="43">
        <v>0</v>
      </c>
      <c r="I29" s="20">
        <v>10</v>
      </c>
      <c r="J29" s="42">
        <v>0</v>
      </c>
      <c r="K29" s="42">
        <v>0</v>
      </c>
      <c r="L29" s="42">
        <v>409.18</v>
      </c>
      <c r="M29" s="42">
        <v>49.101599999999998</v>
      </c>
      <c r="N29" s="42">
        <v>49.101599999999998</v>
      </c>
      <c r="O29" s="142">
        <f>M29-M28</f>
        <v>22.271999999999995</v>
      </c>
      <c r="P29" s="51"/>
      <c r="Q29" s="30"/>
      <c r="R29" s="30"/>
      <c r="S29" s="30"/>
      <c r="T29" s="30"/>
      <c r="U29" s="30"/>
      <c r="V29" s="44"/>
      <c r="W29" s="20"/>
      <c r="X29" s="20"/>
      <c r="Y29" s="30"/>
      <c r="Z29" s="30"/>
      <c r="AA29" s="30"/>
      <c r="AB29" s="30"/>
      <c r="AC29" s="30"/>
      <c r="AD29" s="30"/>
      <c r="AE29" s="44"/>
      <c r="AF29" s="20"/>
      <c r="AG29" s="2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39"/>
      <c r="AS29" s="139"/>
      <c r="AT29" s="139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</row>
    <row r="30" spans="3:57">
      <c r="C30" s="20">
        <v>3</v>
      </c>
      <c r="D30" s="140">
        <v>15</v>
      </c>
      <c r="E30" s="42">
        <v>73</v>
      </c>
      <c r="F30" s="63">
        <v>7.3</v>
      </c>
      <c r="G30" s="43">
        <v>0</v>
      </c>
      <c r="H30" s="43">
        <v>0</v>
      </c>
      <c r="I30" s="20">
        <v>10</v>
      </c>
      <c r="J30" s="42">
        <v>0</v>
      </c>
      <c r="K30" s="42">
        <v>0</v>
      </c>
      <c r="L30" s="42">
        <v>642.78000000000009</v>
      </c>
      <c r="M30" s="42">
        <v>77.133600000000001</v>
      </c>
      <c r="N30" s="42">
        <v>77.133600000000001</v>
      </c>
      <c r="O30" s="142">
        <f>M30-M29</f>
        <v>28.032000000000004</v>
      </c>
      <c r="P30" s="51"/>
      <c r="Q30" s="30"/>
      <c r="R30" s="30"/>
      <c r="S30" s="30"/>
      <c r="T30" s="30"/>
      <c r="U30" s="30"/>
      <c r="V30" s="44"/>
      <c r="W30" s="20"/>
      <c r="X30" s="20"/>
      <c r="Y30" s="30"/>
      <c r="Z30" s="30"/>
      <c r="AA30" s="30"/>
      <c r="AB30" s="30"/>
      <c r="AC30" s="30"/>
      <c r="AD30" s="30"/>
      <c r="AE30" s="44"/>
      <c r="AF30" s="20"/>
      <c r="AG30" s="2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39"/>
      <c r="AS30" s="139"/>
      <c r="AT30" s="139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</row>
    <row r="31" spans="3:57">
      <c r="C31" s="20">
        <v>2</v>
      </c>
      <c r="D31" s="140">
        <v>17</v>
      </c>
      <c r="E31" s="42">
        <v>90</v>
      </c>
      <c r="F31" s="63">
        <v>9</v>
      </c>
      <c r="G31" s="43">
        <v>0</v>
      </c>
      <c r="H31" s="43">
        <v>0</v>
      </c>
      <c r="I31" s="20">
        <v>10</v>
      </c>
      <c r="J31" s="42">
        <v>0</v>
      </c>
      <c r="K31" s="42">
        <v>0</v>
      </c>
      <c r="L31" s="42">
        <v>930.78</v>
      </c>
      <c r="M31" s="42">
        <v>111.6936</v>
      </c>
      <c r="N31" s="42">
        <v>111.6936</v>
      </c>
      <c r="O31" s="142">
        <f>M31-M30</f>
        <v>34.56</v>
      </c>
      <c r="P31" s="51"/>
      <c r="Q31" s="30"/>
      <c r="R31" s="30"/>
      <c r="S31" s="30"/>
      <c r="T31" s="30"/>
      <c r="U31" s="30"/>
      <c r="V31" s="44"/>
      <c r="W31" s="20"/>
      <c r="X31" s="20"/>
      <c r="Y31" s="30"/>
      <c r="Z31" s="30"/>
      <c r="AA31" s="30"/>
      <c r="AB31" s="30"/>
      <c r="AC31" s="30"/>
      <c r="AD31" s="30"/>
      <c r="AE31" s="44"/>
      <c r="AF31" s="20"/>
      <c r="AG31" s="2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39"/>
      <c r="AS31" s="139"/>
      <c r="AT31" s="139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</row>
    <row r="32" spans="3:57">
      <c r="C32" s="21">
        <v>1</v>
      </c>
      <c r="D32" s="32">
        <v>9</v>
      </c>
      <c r="E32" s="29">
        <v>99</v>
      </c>
      <c r="F32" s="64">
        <v>9.9</v>
      </c>
      <c r="G32" s="33">
        <v>0</v>
      </c>
      <c r="H32" s="33">
        <v>0</v>
      </c>
      <c r="I32" s="21">
        <v>10</v>
      </c>
      <c r="J32" s="29">
        <v>0</v>
      </c>
      <c r="K32" s="29">
        <v>0</v>
      </c>
      <c r="L32" s="29">
        <v>1247.58</v>
      </c>
      <c r="M32" s="29">
        <v>149.70959999999999</v>
      </c>
      <c r="N32" s="29">
        <v>149.70959999999999</v>
      </c>
      <c r="O32" s="50">
        <f>M32-M31</f>
        <v>38.015999999999991</v>
      </c>
      <c r="P32" s="51"/>
      <c r="Q32" s="30"/>
      <c r="R32" s="30"/>
      <c r="S32" s="30"/>
      <c r="T32" s="30"/>
      <c r="U32" s="30"/>
      <c r="V32" s="44"/>
      <c r="W32" s="20"/>
      <c r="X32" s="20"/>
      <c r="Y32" s="30"/>
      <c r="Z32" s="30"/>
      <c r="AA32" s="30"/>
      <c r="AB32" s="30"/>
      <c r="AC32" s="30"/>
      <c r="AD32" s="30"/>
      <c r="AE32" s="44"/>
      <c r="AF32" s="20"/>
      <c r="AG32" s="2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39"/>
      <c r="AS32" s="139"/>
      <c r="AT32" s="139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</row>
    <row r="33" spans="3:51">
      <c r="Q33" s="17"/>
      <c r="R33" s="17"/>
      <c r="S33" s="17"/>
    </row>
    <row r="36" spans="3:51" ht="15">
      <c r="C36" s="19" t="s">
        <v>253</v>
      </c>
    </row>
    <row r="37" spans="3:51">
      <c r="C37" s="20"/>
      <c r="D37" s="43"/>
      <c r="E37" s="43"/>
      <c r="F37" s="20"/>
      <c r="G37" s="20"/>
      <c r="H37" s="20"/>
      <c r="I37" s="42"/>
      <c r="J37" s="42"/>
      <c r="K37" s="42"/>
      <c r="L37" s="30"/>
      <c r="M37" s="30"/>
      <c r="N37" s="30"/>
      <c r="O37" s="30"/>
      <c r="P37" s="20"/>
      <c r="Q37" s="42"/>
      <c r="R37" s="20"/>
      <c r="S37" s="30"/>
      <c r="T37" s="30"/>
      <c r="U37" s="20"/>
      <c r="V37" s="20"/>
      <c r="W37" s="20"/>
      <c r="X37" s="20"/>
      <c r="AW37" s="132"/>
    </row>
    <row r="38" spans="3:51">
      <c r="C38" s="269" t="s">
        <v>33</v>
      </c>
      <c r="D38" s="270"/>
      <c r="E38" s="270"/>
      <c r="F38" s="270"/>
      <c r="G38" s="270"/>
      <c r="H38" s="270"/>
      <c r="I38" s="270"/>
      <c r="J38" s="270"/>
      <c r="K38" s="270"/>
      <c r="L38" s="270"/>
      <c r="M38" s="270"/>
      <c r="N38" s="270"/>
      <c r="O38" s="270"/>
      <c r="P38" s="270"/>
      <c r="Q38" s="270"/>
      <c r="R38" s="270"/>
      <c r="S38" s="270"/>
      <c r="T38" s="270"/>
      <c r="U38" s="270"/>
      <c r="V38" s="271"/>
      <c r="W38" s="20"/>
      <c r="X38" s="20"/>
      <c r="Y38" s="49" t="s">
        <v>399</v>
      </c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178"/>
      <c r="AN38" s="178"/>
      <c r="AO38" s="178"/>
      <c r="AP38" s="178"/>
      <c r="AQ38" s="178"/>
      <c r="AR38" s="178"/>
      <c r="AS38" s="178"/>
      <c r="AT38" s="178"/>
      <c r="AU38" s="178"/>
      <c r="AV38" s="178"/>
      <c r="AX38" s="178"/>
      <c r="AY38" s="178"/>
    </row>
    <row r="39" spans="3:51" ht="16.5">
      <c r="C39" s="272" t="s">
        <v>34</v>
      </c>
      <c r="D39" s="273"/>
      <c r="E39" s="273"/>
      <c r="F39" s="273"/>
      <c r="G39" s="273"/>
      <c r="H39" s="273"/>
      <c r="I39" s="274" t="s">
        <v>35</v>
      </c>
      <c r="J39" s="274"/>
      <c r="K39" s="49"/>
      <c r="L39" s="275" t="s">
        <v>36</v>
      </c>
      <c r="M39" s="275"/>
      <c r="N39" s="275"/>
      <c r="O39" s="275"/>
      <c r="P39" s="275"/>
      <c r="Q39" s="275"/>
      <c r="R39" s="22" t="s">
        <v>37</v>
      </c>
      <c r="S39" s="22"/>
      <c r="T39" s="22"/>
      <c r="U39" s="22"/>
      <c r="V39" s="22"/>
      <c r="W39" s="18"/>
      <c r="X39" s="18"/>
      <c r="Y39" s="127" t="s">
        <v>400</v>
      </c>
      <c r="Z39" s="127" t="s">
        <v>401</v>
      </c>
      <c r="AA39" s="127" t="s">
        <v>402</v>
      </c>
      <c r="AB39" s="179" t="s">
        <v>115</v>
      </c>
      <c r="AC39" s="127" t="s">
        <v>161</v>
      </c>
      <c r="AD39" s="180" t="s">
        <v>403</v>
      </c>
      <c r="AE39" s="180" t="s">
        <v>163</v>
      </c>
      <c r="AF39" s="180" t="s">
        <v>404</v>
      </c>
      <c r="AG39" s="180" t="s">
        <v>405</v>
      </c>
      <c r="AH39" s="180" t="s">
        <v>140</v>
      </c>
      <c r="AI39" s="180" t="s">
        <v>141</v>
      </c>
      <c r="AJ39" s="180" t="s">
        <v>142</v>
      </c>
      <c r="AK39" s="180" t="s">
        <v>144</v>
      </c>
      <c r="AL39" s="180" t="s">
        <v>143</v>
      </c>
      <c r="AM39" s="181" t="s">
        <v>406</v>
      </c>
      <c r="AN39" s="181" t="s">
        <v>407</v>
      </c>
      <c r="AO39" s="181" t="s">
        <v>408</v>
      </c>
      <c r="AP39" s="181" t="s">
        <v>409</v>
      </c>
      <c r="AQ39" s="182" t="s">
        <v>410</v>
      </c>
      <c r="AR39" s="182" t="s">
        <v>411</v>
      </c>
      <c r="AS39" s="182" t="s">
        <v>412</v>
      </c>
      <c r="AT39" s="182" t="s">
        <v>413</v>
      </c>
      <c r="AU39" s="181" t="s">
        <v>414</v>
      </c>
      <c r="AV39" s="181" t="s">
        <v>415</v>
      </c>
      <c r="AW39" s="181" t="s">
        <v>416</v>
      </c>
      <c r="AX39" s="181" t="s">
        <v>417</v>
      </c>
      <c r="AY39" s="181" t="s">
        <v>418</v>
      </c>
    </row>
    <row r="40" spans="3:51" ht="38.25">
      <c r="C40" s="183" t="s">
        <v>38</v>
      </c>
      <c r="D40" s="126" t="s">
        <v>39</v>
      </c>
      <c r="E40" s="126" t="s">
        <v>40</v>
      </c>
      <c r="F40" s="126" t="s">
        <v>41</v>
      </c>
      <c r="G40" s="126" t="s">
        <v>42</v>
      </c>
      <c r="H40" s="126" t="s">
        <v>43</v>
      </c>
      <c r="I40" s="134" t="s">
        <v>44</v>
      </c>
      <c r="J40" s="134" t="s">
        <v>45</v>
      </c>
      <c r="K40" s="127" t="s">
        <v>46</v>
      </c>
      <c r="L40" s="87" t="s">
        <v>47</v>
      </c>
      <c r="M40" s="87" t="s">
        <v>48</v>
      </c>
      <c r="N40" s="87" t="s">
        <v>49</v>
      </c>
      <c r="O40" s="87" t="s">
        <v>50</v>
      </c>
      <c r="P40" s="87" t="s">
        <v>222</v>
      </c>
      <c r="Q40" s="87" t="s">
        <v>46</v>
      </c>
      <c r="R40" s="87" t="s">
        <v>51</v>
      </c>
      <c r="S40" s="87" t="s">
        <v>52</v>
      </c>
      <c r="T40" s="87" t="s">
        <v>53</v>
      </c>
      <c r="U40" s="87" t="s">
        <v>224</v>
      </c>
      <c r="V40" s="87" t="s">
        <v>46</v>
      </c>
      <c r="W40" s="26"/>
      <c r="X40" s="26"/>
      <c r="Y40" s="139">
        <v>38</v>
      </c>
      <c r="Z40" s="139">
        <v>2440</v>
      </c>
      <c r="AA40" s="139">
        <v>1220</v>
      </c>
      <c r="AB40" s="140">
        <v>0.8</v>
      </c>
      <c r="AC40" s="140">
        <v>1.1499999999999999</v>
      </c>
      <c r="AD40" s="140">
        <v>1</v>
      </c>
      <c r="AE40" s="140">
        <v>1</v>
      </c>
      <c r="AF40" s="140">
        <v>1</v>
      </c>
      <c r="AG40" s="140">
        <v>1</v>
      </c>
      <c r="AH40" s="140">
        <v>1.3</v>
      </c>
      <c r="AI40" s="140">
        <v>1</v>
      </c>
      <c r="AJ40" s="140">
        <v>1</v>
      </c>
      <c r="AK40" s="140">
        <v>1</v>
      </c>
      <c r="AL40" s="140">
        <v>1</v>
      </c>
      <c r="AM40" s="43">
        <v>0.42</v>
      </c>
      <c r="AN40" s="43">
        <v>0.42</v>
      </c>
      <c r="AO40" s="43" t="s">
        <v>419</v>
      </c>
      <c r="AP40" s="43" t="s">
        <v>420</v>
      </c>
      <c r="AQ40" s="15">
        <v>9500</v>
      </c>
      <c r="AR40" s="15">
        <v>475</v>
      </c>
      <c r="AS40" s="15">
        <v>200000</v>
      </c>
      <c r="AT40" s="15">
        <v>42560</v>
      </c>
      <c r="AU40" s="16" t="s">
        <v>421</v>
      </c>
      <c r="AV40" s="43" t="s">
        <v>422</v>
      </c>
      <c r="AW40" s="43" t="s">
        <v>419</v>
      </c>
      <c r="AX40" s="184">
        <v>119.40587999999997</v>
      </c>
      <c r="AY40" s="184">
        <f>T41</f>
        <v>156.68038790179097</v>
      </c>
    </row>
    <row r="41" spans="3:51" ht="15">
      <c r="C41" s="203" t="s">
        <v>54</v>
      </c>
      <c r="D41" s="14">
        <v>12.5</v>
      </c>
      <c r="E41" s="14" t="s">
        <v>436</v>
      </c>
      <c r="F41" s="13">
        <v>64</v>
      </c>
      <c r="G41" s="14">
        <v>3.66</v>
      </c>
      <c r="H41" s="14">
        <v>150</v>
      </c>
      <c r="I41" s="12">
        <v>6.29</v>
      </c>
      <c r="J41" s="90">
        <f>I41/F27</f>
        <v>2.4192307692307691</v>
      </c>
      <c r="K41" s="91" t="str">
        <f>IF(J41&gt;1,"OK","NOT OK")</f>
        <v>OK</v>
      </c>
      <c r="L41" s="14" t="s">
        <v>56</v>
      </c>
      <c r="M41" s="14" t="s">
        <v>57</v>
      </c>
      <c r="N41" s="13">
        <v>1</v>
      </c>
      <c r="O41" s="12">
        <v>483</v>
      </c>
      <c r="P41" s="12">
        <v>10.701600000000001</v>
      </c>
      <c r="Q41" s="13" t="str">
        <f>IF(O41&gt;P41,"OK","NOT OK")</f>
        <v>OK</v>
      </c>
      <c r="R41" s="14" t="s">
        <v>58</v>
      </c>
      <c r="S41" s="14">
        <v>4</v>
      </c>
      <c r="T41" s="92">
        <v>156.68038790179097</v>
      </c>
      <c r="U41" s="92">
        <v>10.701600000000001</v>
      </c>
      <c r="V41" s="13" t="str">
        <f>IF(T41&gt;U41,"OK","NOT OK")</f>
        <v>OK</v>
      </c>
      <c r="W41" s="30"/>
      <c r="X41" s="30"/>
      <c r="Y41" s="139">
        <v>38</v>
      </c>
      <c r="Z41" s="139">
        <v>2440</v>
      </c>
      <c r="AA41" s="139">
        <v>1220</v>
      </c>
      <c r="AB41" s="140">
        <v>0.8</v>
      </c>
      <c r="AC41" s="140">
        <v>1.1499999999999999</v>
      </c>
      <c r="AD41" s="140">
        <v>1</v>
      </c>
      <c r="AE41" s="140">
        <v>1</v>
      </c>
      <c r="AF41" s="140">
        <v>1</v>
      </c>
      <c r="AG41" s="140">
        <v>1</v>
      </c>
      <c r="AH41" s="140">
        <v>1.3</v>
      </c>
      <c r="AI41" s="140">
        <v>1</v>
      </c>
      <c r="AJ41" s="140">
        <v>1</v>
      </c>
      <c r="AK41" s="140">
        <v>1</v>
      </c>
      <c r="AL41" s="140">
        <v>1</v>
      </c>
      <c r="AM41" s="43">
        <v>0.42</v>
      </c>
      <c r="AN41" s="43">
        <v>0.42</v>
      </c>
      <c r="AO41" s="43" t="s">
        <v>419</v>
      </c>
      <c r="AP41" s="43" t="s">
        <v>420</v>
      </c>
      <c r="AQ41" s="15">
        <v>9500</v>
      </c>
      <c r="AR41" s="15">
        <v>475</v>
      </c>
      <c r="AS41" s="15">
        <v>200000</v>
      </c>
      <c r="AT41" s="15">
        <v>42560</v>
      </c>
      <c r="AU41" s="16" t="s">
        <v>421</v>
      </c>
      <c r="AV41" s="43" t="s">
        <v>422</v>
      </c>
      <c r="AW41" s="43" t="s">
        <v>419</v>
      </c>
      <c r="AX41" s="184">
        <v>119.40587999999997</v>
      </c>
      <c r="AY41" s="184">
        <f t="shared" ref="AY41:AY45" si="8">T42</f>
        <v>173.65038757698619</v>
      </c>
    </row>
    <row r="42" spans="3:51" ht="15">
      <c r="C42" s="185" t="s">
        <v>54</v>
      </c>
      <c r="D42" s="227">
        <v>12.5</v>
      </c>
      <c r="E42" s="227" t="s">
        <v>436</v>
      </c>
      <c r="F42" s="228">
        <v>64</v>
      </c>
      <c r="G42" s="227">
        <v>3.66</v>
      </c>
      <c r="H42" s="227">
        <v>125</v>
      </c>
      <c r="I42" s="229">
        <v>7.55</v>
      </c>
      <c r="J42" s="230">
        <f t="shared" ref="J42:J46" si="9">I42/F28</f>
        <v>1.7976190476190474</v>
      </c>
      <c r="K42" s="231" t="str">
        <f t="shared" ref="K42:K46" si="10">IF(J42&gt;1,"OK","NOT OK")</f>
        <v>OK</v>
      </c>
      <c r="L42" s="227" t="s">
        <v>56</v>
      </c>
      <c r="M42" s="227" t="s">
        <v>57</v>
      </c>
      <c r="N42" s="228">
        <v>1</v>
      </c>
      <c r="O42" s="229">
        <v>483</v>
      </c>
      <c r="P42" s="229">
        <v>26.829600000000003</v>
      </c>
      <c r="Q42" s="228" t="str">
        <f t="shared" ref="Q42:Q46" si="11">IF(O42&gt;P42,"OK","NOT OK")</f>
        <v>OK</v>
      </c>
      <c r="R42" s="227" t="s">
        <v>58</v>
      </c>
      <c r="S42" s="227">
        <v>4</v>
      </c>
      <c r="T42" s="232">
        <v>173.65038757698619</v>
      </c>
      <c r="U42" s="232">
        <v>26.829600000000003</v>
      </c>
      <c r="V42" s="228" t="str">
        <f t="shared" ref="V42:V46" si="12">IF(T42&gt;U42,"OK","NOT OK")</f>
        <v>OK</v>
      </c>
      <c r="W42" s="30"/>
      <c r="X42" s="30"/>
      <c r="Y42" s="139">
        <v>38</v>
      </c>
      <c r="Z42" s="139">
        <v>2440</v>
      </c>
      <c r="AA42" s="139">
        <v>1220</v>
      </c>
      <c r="AB42" s="140">
        <v>0.8</v>
      </c>
      <c r="AC42" s="140">
        <v>1.1499999999999999</v>
      </c>
      <c r="AD42" s="140">
        <v>1</v>
      </c>
      <c r="AE42" s="140">
        <v>1</v>
      </c>
      <c r="AF42" s="140">
        <v>1</v>
      </c>
      <c r="AG42" s="140">
        <v>1</v>
      </c>
      <c r="AH42" s="140">
        <v>1.3</v>
      </c>
      <c r="AI42" s="140">
        <v>1</v>
      </c>
      <c r="AJ42" s="140">
        <v>1</v>
      </c>
      <c r="AK42" s="140">
        <v>1</v>
      </c>
      <c r="AL42" s="140">
        <v>1</v>
      </c>
      <c r="AM42" s="43">
        <v>0.42</v>
      </c>
      <c r="AN42" s="43">
        <v>0.42</v>
      </c>
      <c r="AO42" s="43" t="s">
        <v>419</v>
      </c>
      <c r="AP42" s="43" t="s">
        <v>420</v>
      </c>
      <c r="AQ42" s="15">
        <v>9500</v>
      </c>
      <c r="AR42" s="15">
        <v>475</v>
      </c>
      <c r="AS42" s="15">
        <v>200000</v>
      </c>
      <c r="AT42" s="15">
        <v>63840</v>
      </c>
      <c r="AU42" s="16" t="s">
        <v>421</v>
      </c>
      <c r="AV42" s="43" t="s">
        <v>422</v>
      </c>
      <c r="AW42" s="43" t="s">
        <v>419</v>
      </c>
      <c r="AX42" s="184">
        <v>179.10881999999995</v>
      </c>
      <c r="AY42" s="184">
        <f t="shared" si="8"/>
        <v>260.47558136547929</v>
      </c>
    </row>
    <row r="43" spans="3:51" ht="15">
      <c r="C43" s="185" t="s">
        <v>54</v>
      </c>
      <c r="D43" s="227">
        <v>12.5</v>
      </c>
      <c r="E43" s="227" t="s">
        <v>436</v>
      </c>
      <c r="F43" s="228">
        <v>64</v>
      </c>
      <c r="G43" s="227">
        <v>3.66</v>
      </c>
      <c r="H43" s="227">
        <v>75</v>
      </c>
      <c r="I43" s="229">
        <v>12.58</v>
      </c>
      <c r="J43" s="230">
        <f t="shared" si="9"/>
        <v>2.1689655172413795</v>
      </c>
      <c r="K43" s="231" t="str">
        <f t="shared" si="10"/>
        <v>OK</v>
      </c>
      <c r="L43" s="227" t="s">
        <v>56</v>
      </c>
      <c r="M43" s="227" t="s">
        <v>57</v>
      </c>
      <c r="N43" s="228">
        <v>1</v>
      </c>
      <c r="O43" s="229">
        <v>483</v>
      </c>
      <c r="P43" s="229">
        <v>49.101599999999998</v>
      </c>
      <c r="Q43" s="228" t="str">
        <f t="shared" si="11"/>
        <v>OK</v>
      </c>
      <c r="R43" s="227" t="s">
        <v>58</v>
      </c>
      <c r="S43" s="227">
        <v>6</v>
      </c>
      <c r="T43" s="232">
        <v>260.47558136547929</v>
      </c>
      <c r="U43" s="232">
        <v>49.101599999999998</v>
      </c>
      <c r="V43" s="228" t="str">
        <f t="shared" si="12"/>
        <v>OK</v>
      </c>
      <c r="W43" s="30"/>
      <c r="X43" s="30"/>
      <c r="Y43" s="139">
        <v>38</v>
      </c>
      <c r="Z43" s="139">
        <v>2440</v>
      </c>
      <c r="AA43" s="139">
        <v>1220</v>
      </c>
      <c r="AB43" s="140">
        <v>0.8</v>
      </c>
      <c r="AC43" s="140">
        <v>1.1499999999999999</v>
      </c>
      <c r="AD43" s="140">
        <v>1</v>
      </c>
      <c r="AE43" s="140">
        <v>1</v>
      </c>
      <c r="AF43" s="140">
        <v>1</v>
      </c>
      <c r="AG43" s="140">
        <v>1</v>
      </c>
      <c r="AH43" s="140">
        <v>1.3</v>
      </c>
      <c r="AI43" s="140">
        <v>1</v>
      </c>
      <c r="AJ43" s="140">
        <v>1</v>
      </c>
      <c r="AK43" s="140">
        <v>1</v>
      </c>
      <c r="AL43" s="140">
        <v>1</v>
      </c>
      <c r="AM43" s="43">
        <v>0.42</v>
      </c>
      <c r="AN43" s="43">
        <v>0.42</v>
      </c>
      <c r="AO43" s="43" t="s">
        <v>419</v>
      </c>
      <c r="AP43" s="43" t="s">
        <v>420</v>
      </c>
      <c r="AQ43" s="15">
        <v>9500</v>
      </c>
      <c r="AR43" s="15">
        <v>475</v>
      </c>
      <c r="AS43" s="15">
        <v>200000</v>
      </c>
      <c r="AT43" s="15">
        <v>85120</v>
      </c>
      <c r="AU43" s="16" t="s">
        <v>421</v>
      </c>
      <c r="AV43" s="43" t="s">
        <v>422</v>
      </c>
      <c r="AW43" s="43" t="s">
        <v>54</v>
      </c>
      <c r="AX43" s="184">
        <v>315.19935999999996</v>
      </c>
      <c r="AY43" s="184">
        <f t="shared" si="8"/>
        <v>347.30077515397238</v>
      </c>
    </row>
    <row r="44" spans="3:51" ht="15">
      <c r="C44" s="185" t="s">
        <v>54</v>
      </c>
      <c r="D44" s="227">
        <v>12.5</v>
      </c>
      <c r="E44" s="227" t="s">
        <v>436</v>
      </c>
      <c r="F44" s="228">
        <v>64</v>
      </c>
      <c r="G44" s="227">
        <v>3.66</v>
      </c>
      <c r="H44" s="227">
        <v>50</v>
      </c>
      <c r="I44" s="229">
        <v>18.87</v>
      </c>
      <c r="J44" s="230">
        <f t="shared" si="9"/>
        <v>2.5849315068493151</v>
      </c>
      <c r="K44" s="231" t="str">
        <f t="shared" si="10"/>
        <v>OK</v>
      </c>
      <c r="L44" s="227" t="s">
        <v>56</v>
      </c>
      <c r="M44" s="227" t="s">
        <v>57</v>
      </c>
      <c r="N44" s="228">
        <v>1</v>
      </c>
      <c r="O44" s="229">
        <v>483</v>
      </c>
      <c r="P44" s="229">
        <v>77.133600000000001</v>
      </c>
      <c r="Q44" s="228" t="str">
        <f t="shared" si="11"/>
        <v>OK</v>
      </c>
      <c r="R44" s="227" t="s">
        <v>58</v>
      </c>
      <c r="S44" s="227">
        <v>8</v>
      </c>
      <c r="T44" s="232">
        <v>347.30077515397238</v>
      </c>
      <c r="U44" s="232">
        <v>77.133600000000001</v>
      </c>
      <c r="V44" s="228" t="str">
        <f t="shared" si="12"/>
        <v>OK</v>
      </c>
      <c r="W44" s="30"/>
      <c r="X44" s="30"/>
      <c r="Y44" s="139">
        <v>38</v>
      </c>
      <c r="Z44" s="139">
        <v>2440</v>
      </c>
      <c r="AA44" s="139">
        <v>1220</v>
      </c>
      <c r="AB44" s="140">
        <v>0.8</v>
      </c>
      <c r="AC44" s="140">
        <v>1.1499999999999999</v>
      </c>
      <c r="AD44" s="140">
        <v>1</v>
      </c>
      <c r="AE44" s="140">
        <v>1</v>
      </c>
      <c r="AF44" s="140">
        <v>1</v>
      </c>
      <c r="AG44" s="140">
        <v>1</v>
      </c>
      <c r="AH44" s="140">
        <v>1.3</v>
      </c>
      <c r="AI44" s="140">
        <v>1</v>
      </c>
      <c r="AJ44" s="140">
        <v>1</v>
      </c>
      <c r="AK44" s="140">
        <v>1</v>
      </c>
      <c r="AL44" s="140">
        <v>1</v>
      </c>
      <c r="AM44" s="43">
        <v>0.42</v>
      </c>
      <c r="AN44" s="43">
        <v>0.42</v>
      </c>
      <c r="AO44" s="43" t="s">
        <v>419</v>
      </c>
      <c r="AP44" s="43" t="s">
        <v>420</v>
      </c>
      <c r="AQ44" s="15">
        <v>9500</v>
      </c>
      <c r="AR44" s="15">
        <v>475</v>
      </c>
      <c r="AS44" s="15">
        <v>200000</v>
      </c>
      <c r="AT44" s="15">
        <v>106400</v>
      </c>
      <c r="AU44" s="16" t="s">
        <v>421</v>
      </c>
      <c r="AV44" s="43" t="s">
        <v>422</v>
      </c>
      <c r="AW44" s="43" t="s">
        <v>54</v>
      </c>
      <c r="AX44" s="184">
        <v>393.99919999999997</v>
      </c>
      <c r="AY44" s="184">
        <f t="shared" si="8"/>
        <v>434.12596894246542</v>
      </c>
    </row>
    <row r="45" spans="3:51" ht="15">
      <c r="C45" s="185" t="s">
        <v>54</v>
      </c>
      <c r="D45" s="227">
        <v>12.5</v>
      </c>
      <c r="E45" s="227" t="s">
        <v>436</v>
      </c>
      <c r="F45" s="228">
        <v>64</v>
      </c>
      <c r="G45" s="227">
        <v>3.66</v>
      </c>
      <c r="H45" s="227">
        <v>50</v>
      </c>
      <c r="I45" s="229">
        <v>18.87</v>
      </c>
      <c r="J45" s="230">
        <f t="shared" si="9"/>
        <v>2.0966666666666667</v>
      </c>
      <c r="K45" s="231" t="str">
        <f t="shared" si="10"/>
        <v>OK</v>
      </c>
      <c r="L45" s="227" t="s">
        <v>56</v>
      </c>
      <c r="M45" s="227" t="s">
        <v>57</v>
      </c>
      <c r="N45" s="228">
        <v>1</v>
      </c>
      <c r="O45" s="229">
        <v>483</v>
      </c>
      <c r="P45" s="229">
        <v>111.6936</v>
      </c>
      <c r="Q45" s="228" t="str">
        <f t="shared" si="11"/>
        <v>OK</v>
      </c>
      <c r="R45" s="227" t="s">
        <v>58</v>
      </c>
      <c r="S45" s="227">
        <v>10</v>
      </c>
      <c r="T45" s="232">
        <v>434.12596894246542</v>
      </c>
      <c r="U45" s="232">
        <v>111.6936</v>
      </c>
      <c r="V45" s="228" t="str">
        <f t="shared" si="12"/>
        <v>OK</v>
      </c>
      <c r="W45" s="30"/>
      <c r="X45" s="30"/>
      <c r="Y45" s="31">
        <v>38</v>
      </c>
      <c r="Z45" s="31">
        <v>2440</v>
      </c>
      <c r="AA45" s="31">
        <v>1220</v>
      </c>
      <c r="AB45" s="32">
        <v>0.8</v>
      </c>
      <c r="AC45" s="32">
        <v>1.1499999999999999</v>
      </c>
      <c r="AD45" s="32">
        <v>1</v>
      </c>
      <c r="AE45" s="32">
        <v>1</v>
      </c>
      <c r="AF45" s="32">
        <v>1</v>
      </c>
      <c r="AG45" s="32">
        <v>1</v>
      </c>
      <c r="AH45" s="32">
        <v>1.3</v>
      </c>
      <c r="AI45" s="32">
        <v>1</v>
      </c>
      <c r="AJ45" s="32">
        <v>1</v>
      </c>
      <c r="AK45" s="32">
        <v>1</v>
      </c>
      <c r="AL45" s="32">
        <v>1</v>
      </c>
      <c r="AM45" s="33">
        <v>0.42</v>
      </c>
      <c r="AN45" s="33">
        <v>0.42</v>
      </c>
      <c r="AO45" s="33" t="s">
        <v>419</v>
      </c>
      <c r="AP45" s="33" t="s">
        <v>420</v>
      </c>
      <c r="AQ45" s="132">
        <v>9500</v>
      </c>
      <c r="AR45" s="132">
        <v>475</v>
      </c>
      <c r="AS45" s="132">
        <v>200000</v>
      </c>
      <c r="AT45" s="132">
        <v>127680</v>
      </c>
      <c r="AU45" s="186" t="s">
        <v>421</v>
      </c>
      <c r="AV45" s="33" t="s">
        <v>422</v>
      </c>
      <c r="AW45" s="33" t="s">
        <v>54</v>
      </c>
      <c r="AX45" s="187">
        <v>472.79903999999993</v>
      </c>
      <c r="AY45" s="187">
        <f t="shared" si="8"/>
        <v>520.95116273095857</v>
      </c>
    </row>
    <row r="46" spans="3:51">
      <c r="C46" s="188" t="s">
        <v>54</v>
      </c>
      <c r="D46" s="40">
        <v>12.5</v>
      </c>
      <c r="E46" s="40" t="s">
        <v>436</v>
      </c>
      <c r="F46" s="41">
        <v>64</v>
      </c>
      <c r="G46" s="40">
        <v>3.66</v>
      </c>
      <c r="H46" s="40">
        <v>50</v>
      </c>
      <c r="I46" s="58">
        <v>18.87</v>
      </c>
      <c r="J46" s="52">
        <f t="shared" si="9"/>
        <v>1.906060606060606</v>
      </c>
      <c r="K46" s="53" t="str">
        <f t="shared" si="10"/>
        <v>OK</v>
      </c>
      <c r="L46" s="40" t="s">
        <v>56</v>
      </c>
      <c r="M46" s="40" t="s">
        <v>57</v>
      </c>
      <c r="N46" s="41">
        <v>1</v>
      </c>
      <c r="O46" s="58">
        <v>483</v>
      </c>
      <c r="P46" s="58">
        <v>149.70959999999999</v>
      </c>
      <c r="Q46" s="41" t="str">
        <f t="shared" si="11"/>
        <v>OK</v>
      </c>
      <c r="R46" s="40" t="s">
        <v>58</v>
      </c>
      <c r="S46" s="40">
        <v>12</v>
      </c>
      <c r="T46" s="76">
        <v>520.95116273095857</v>
      </c>
      <c r="U46" s="76">
        <v>149.70959999999999</v>
      </c>
      <c r="V46" s="41" t="str">
        <f t="shared" si="12"/>
        <v>OK</v>
      </c>
      <c r="W46" s="30"/>
      <c r="X46" s="30"/>
      <c r="Y46" s="30"/>
      <c r="Z46" s="30"/>
      <c r="AA46" s="44"/>
      <c r="AB46" s="20"/>
      <c r="AC46" s="20"/>
    </row>
    <row r="47" spans="3:51">
      <c r="C47" s="277" t="s">
        <v>59</v>
      </c>
      <c r="D47" s="278"/>
      <c r="E47" s="278"/>
      <c r="F47" s="278"/>
      <c r="G47" s="278"/>
      <c r="H47" s="278"/>
      <c r="I47" s="278"/>
      <c r="J47" s="278"/>
      <c r="K47" s="278"/>
      <c r="L47" s="278"/>
      <c r="M47" s="278"/>
      <c r="N47" s="278"/>
      <c r="O47" s="278"/>
      <c r="P47" s="278"/>
      <c r="Q47" s="278"/>
      <c r="R47" s="278"/>
      <c r="S47" s="278"/>
      <c r="T47" s="278"/>
      <c r="U47" s="278"/>
      <c r="V47" s="279"/>
      <c r="W47" s="30"/>
      <c r="X47" s="30"/>
      <c r="Y47" s="30"/>
      <c r="Z47" s="30"/>
      <c r="AA47" s="44"/>
      <c r="AB47" s="20"/>
      <c r="AC47" s="20"/>
    </row>
    <row r="48" spans="3:51">
      <c r="C48" s="272" t="s">
        <v>34</v>
      </c>
      <c r="D48" s="273"/>
      <c r="E48" s="273"/>
      <c r="F48" s="273"/>
      <c r="G48" s="273"/>
      <c r="H48" s="273"/>
      <c r="I48" s="274" t="s">
        <v>35</v>
      </c>
      <c r="J48" s="274"/>
      <c r="K48" s="49"/>
      <c r="L48" s="275" t="s">
        <v>36</v>
      </c>
      <c r="M48" s="275"/>
      <c r="N48" s="275"/>
      <c r="O48" s="275"/>
      <c r="P48" s="275"/>
      <c r="Q48" s="275"/>
      <c r="R48" s="22" t="s">
        <v>37</v>
      </c>
      <c r="S48" s="22"/>
      <c r="T48" s="22"/>
      <c r="U48" s="22"/>
      <c r="V48" s="22"/>
      <c r="W48" s="20"/>
      <c r="X48" s="20"/>
    </row>
    <row r="49" spans="3:28" ht="38.25">
      <c r="C49" s="183" t="s">
        <v>38</v>
      </c>
      <c r="D49" s="126" t="s">
        <v>39</v>
      </c>
      <c r="E49" s="126" t="s">
        <v>40</v>
      </c>
      <c r="F49" s="126" t="s">
        <v>41</v>
      </c>
      <c r="G49" s="126" t="s">
        <v>42</v>
      </c>
      <c r="H49" s="126" t="s">
        <v>43</v>
      </c>
      <c r="I49" s="134" t="s">
        <v>44</v>
      </c>
      <c r="J49" s="1" t="s">
        <v>45</v>
      </c>
      <c r="K49" s="127" t="s">
        <v>46</v>
      </c>
      <c r="L49" s="87" t="s">
        <v>47</v>
      </c>
      <c r="M49" s="87" t="s">
        <v>48</v>
      </c>
      <c r="N49" s="87" t="s">
        <v>49</v>
      </c>
      <c r="O49" s="87" t="s">
        <v>50</v>
      </c>
      <c r="P49" s="87" t="s">
        <v>222</v>
      </c>
      <c r="Q49" s="87" t="s">
        <v>46</v>
      </c>
      <c r="R49" s="87" t="s">
        <v>51</v>
      </c>
      <c r="S49" s="87" t="s">
        <v>49</v>
      </c>
      <c r="T49" s="87" t="s">
        <v>53</v>
      </c>
      <c r="U49" s="87" t="s">
        <v>224</v>
      </c>
      <c r="V49" s="87" t="s">
        <v>46</v>
      </c>
      <c r="W49" s="20"/>
      <c r="X49" s="20"/>
    </row>
    <row r="50" spans="3:28">
      <c r="C50" s="204" t="s">
        <v>54</v>
      </c>
      <c r="D50" s="93">
        <v>12.5</v>
      </c>
      <c r="E50" s="93" t="s">
        <v>436</v>
      </c>
      <c r="F50" s="93">
        <v>64</v>
      </c>
      <c r="G50" s="93">
        <v>3.66</v>
      </c>
      <c r="H50" s="93">
        <v>150</v>
      </c>
      <c r="I50" s="94">
        <v>6.29</v>
      </c>
      <c r="J50" s="80">
        <f>I50/F27</f>
        <v>2.4192307692307691</v>
      </c>
      <c r="K50" s="93" t="str">
        <f>IF(J50&gt;1,"OK","NOT OK")</f>
        <v>OK</v>
      </c>
      <c r="L50" s="93" t="s">
        <v>56</v>
      </c>
      <c r="M50" s="93" t="s">
        <v>57</v>
      </c>
      <c r="N50" s="93">
        <v>1</v>
      </c>
      <c r="O50" s="94">
        <v>483</v>
      </c>
      <c r="P50" s="94">
        <v>10.701600000000001</v>
      </c>
      <c r="Q50" s="94" t="str">
        <f>IF(O50&gt;P50,"OK","NOT OK")</f>
        <v>OK</v>
      </c>
      <c r="R50" s="93" t="s">
        <v>58</v>
      </c>
      <c r="S50" s="93">
        <v>8</v>
      </c>
      <c r="T50" s="95">
        <v>156.68038790179097</v>
      </c>
      <c r="U50" s="95">
        <v>10.701600000000001</v>
      </c>
      <c r="V50" s="94" t="str">
        <f>IF(T50&gt;U50,"OK","NOT OK")</f>
        <v>OK</v>
      </c>
    </row>
    <row r="51" spans="3:28">
      <c r="C51" s="189" t="s">
        <v>54</v>
      </c>
      <c r="D51" s="233">
        <v>12.5</v>
      </c>
      <c r="E51" s="233" t="s">
        <v>436</v>
      </c>
      <c r="F51" s="233">
        <v>64</v>
      </c>
      <c r="G51" s="233">
        <v>3.66</v>
      </c>
      <c r="H51" s="233">
        <v>125</v>
      </c>
      <c r="I51" s="234">
        <v>7.55</v>
      </c>
      <c r="J51" s="235">
        <f t="shared" ref="J51:J55" si="13">I51/F28</f>
        <v>1.7976190476190474</v>
      </c>
      <c r="K51" s="233" t="str">
        <f t="shared" ref="K51:K55" si="14">IF(J51&gt;1,"OK","NOT OK")</f>
        <v>OK</v>
      </c>
      <c r="L51" s="233" t="s">
        <v>56</v>
      </c>
      <c r="M51" s="233" t="s">
        <v>57</v>
      </c>
      <c r="N51" s="233">
        <v>1</v>
      </c>
      <c r="O51" s="234">
        <v>483</v>
      </c>
      <c r="P51" s="234">
        <v>26.829600000000003</v>
      </c>
      <c r="Q51" s="234" t="str">
        <f t="shared" ref="Q51:Q55" si="15">IF(O51&gt;P51,"OK","NOT OK")</f>
        <v>OK</v>
      </c>
      <c r="R51" s="233" t="s">
        <v>58</v>
      </c>
      <c r="S51" s="233">
        <v>8</v>
      </c>
      <c r="T51" s="236">
        <v>173.65038757698619</v>
      </c>
      <c r="U51" s="236">
        <v>26.829600000000003</v>
      </c>
      <c r="V51" s="234" t="str">
        <f t="shared" ref="V51:V55" si="16">IF(T51&gt;U51,"OK","NOT OK")</f>
        <v>OK</v>
      </c>
    </row>
    <row r="52" spans="3:28" ht="15">
      <c r="C52" s="189" t="s">
        <v>54</v>
      </c>
      <c r="D52" s="233">
        <v>12.5</v>
      </c>
      <c r="E52" s="233" t="s">
        <v>436</v>
      </c>
      <c r="F52" s="233">
        <v>64</v>
      </c>
      <c r="G52" s="233">
        <v>3.66</v>
      </c>
      <c r="H52" s="233">
        <v>75</v>
      </c>
      <c r="I52" s="234">
        <v>12.58</v>
      </c>
      <c r="J52" s="235">
        <f t="shared" si="13"/>
        <v>2.1689655172413795</v>
      </c>
      <c r="K52" s="233" t="str">
        <f t="shared" si="14"/>
        <v>OK</v>
      </c>
      <c r="L52" s="233" t="s">
        <v>56</v>
      </c>
      <c r="M52" s="233" t="s">
        <v>57</v>
      </c>
      <c r="N52" s="233">
        <v>1</v>
      </c>
      <c r="O52" s="234">
        <v>483</v>
      </c>
      <c r="P52" s="234">
        <v>49.101599999999998</v>
      </c>
      <c r="Q52" s="234" t="str">
        <f t="shared" si="15"/>
        <v>OK</v>
      </c>
      <c r="R52" s="233" t="s">
        <v>58</v>
      </c>
      <c r="S52" s="233">
        <v>12</v>
      </c>
      <c r="T52" s="236">
        <v>260.47558136547929</v>
      </c>
      <c r="U52" s="236">
        <v>49.101599999999998</v>
      </c>
      <c r="V52" s="234" t="str">
        <f t="shared" si="16"/>
        <v>OK</v>
      </c>
      <c r="AB52"/>
    </row>
    <row r="53" spans="3:28">
      <c r="C53" s="189" t="s">
        <v>54</v>
      </c>
      <c r="D53" s="233">
        <v>12.5</v>
      </c>
      <c r="E53" s="233" t="s">
        <v>436</v>
      </c>
      <c r="F53" s="233">
        <v>64</v>
      </c>
      <c r="G53" s="233">
        <v>3.66</v>
      </c>
      <c r="H53" s="233">
        <v>50</v>
      </c>
      <c r="I53" s="234">
        <v>18.87</v>
      </c>
      <c r="J53" s="235">
        <f t="shared" si="13"/>
        <v>2.5849315068493151</v>
      </c>
      <c r="K53" s="233" t="str">
        <f t="shared" si="14"/>
        <v>OK</v>
      </c>
      <c r="L53" s="233" t="s">
        <v>56</v>
      </c>
      <c r="M53" s="233" t="s">
        <v>57</v>
      </c>
      <c r="N53" s="233">
        <v>1</v>
      </c>
      <c r="O53" s="234">
        <v>483</v>
      </c>
      <c r="P53" s="234">
        <v>77.133600000000001</v>
      </c>
      <c r="Q53" s="234" t="str">
        <f t="shared" si="15"/>
        <v>OK</v>
      </c>
      <c r="R53" s="233" t="s">
        <v>58</v>
      </c>
      <c r="S53" s="233">
        <v>16</v>
      </c>
      <c r="T53" s="236">
        <v>347.30077515397238</v>
      </c>
      <c r="U53" s="236">
        <v>77.133600000000001</v>
      </c>
      <c r="V53" s="234" t="str">
        <f t="shared" si="16"/>
        <v>OK</v>
      </c>
    </row>
    <row r="54" spans="3:28">
      <c r="C54" s="189" t="s">
        <v>54</v>
      </c>
      <c r="D54" s="233">
        <v>12.5</v>
      </c>
      <c r="E54" s="233" t="s">
        <v>436</v>
      </c>
      <c r="F54" s="233">
        <v>64</v>
      </c>
      <c r="G54" s="233">
        <v>3.66</v>
      </c>
      <c r="H54" s="233">
        <v>50</v>
      </c>
      <c r="I54" s="234">
        <v>18.87</v>
      </c>
      <c r="J54" s="235">
        <f t="shared" si="13"/>
        <v>2.0966666666666667</v>
      </c>
      <c r="K54" s="233" t="str">
        <f t="shared" si="14"/>
        <v>OK</v>
      </c>
      <c r="L54" s="233" t="s">
        <v>56</v>
      </c>
      <c r="M54" s="233" t="s">
        <v>57</v>
      </c>
      <c r="N54" s="233">
        <v>1</v>
      </c>
      <c r="O54" s="234">
        <v>483</v>
      </c>
      <c r="P54" s="234">
        <v>111.6936</v>
      </c>
      <c r="Q54" s="234" t="str">
        <f t="shared" si="15"/>
        <v>OK</v>
      </c>
      <c r="R54" s="233" t="s">
        <v>58</v>
      </c>
      <c r="S54" s="233">
        <v>20</v>
      </c>
      <c r="T54" s="236">
        <v>434.12596894246542</v>
      </c>
      <c r="U54" s="236">
        <v>111.6936</v>
      </c>
      <c r="V54" s="234" t="str">
        <f t="shared" si="16"/>
        <v>OK</v>
      </c>
    </row>
    <row r="55" spans="3:28">
      <c r="C55" s="190" t="s">
        <v>54</v>
      </c>
      <c r="D55" s="45">
        <v>12.5</v>
      </c>
      <c r="E55" s="45" t="s">
        <v>436</v>
      </c>
      <c r="F55" s="45">
        <v>64</v>
      </c>
      <c r="G55" s="45">
        <v>3.66</v>
      </c>
      <c r="H55" s="45">
        <v>50</v>
      </c>
      <c r="I55" s="46">
        <v>18.87</v>
      </c>
      <c r="J55" s="81">
        <f t="shared" si="13"/>
        <v>1.906060606060606</v>
      </c>
      <c r="K55" s="45" t="str">
        <f t="shared" si="14"/>
        <v>OK</v>
      </c>
      <c r="L55" s="45" t="s">
        <v>56</v>
      </c>
      <c r="M55" s="45" t="s">
        <v>57</v>
      </c>
      <c r="N55" s="45">
        <v>1</v>
      </c>
      <c r="O55" s="46">
        <v>483</v>
      </c>
      <c r="P55" s="46">
        <v>149.70959999999999</v>
      </c>
      <c r="Q55" s="46" t="str">
        <f t="shared" si="15"/>
        <v>OK</v>
      </c>
      <c r="R55" s="45" t="s">
        <v>58</v>
      </c>
      <c r="S55" s="45">
        <v>24</v>
      </c>
      <c r="T55" s="78">
        <v>520.95116273095857</v>
      </c>
      <c r="U55" s="78">
        <v>149.70959999999999</v>
      </c>
      <c r="V55" s="46" t="str">
        <f t="shared" si="16"/>
        <v>OK</v>
      </c>
    </row>
    <row r="56" spans="3:28">
      <c r="C56" s="280" t="s">
        <v>60</v>
      </c>
      <c r="D56" s="281"/>
      <c r="E56" s="281"/>
      <c r="F56" s="281"/>
      <c r="G56" s="281"/>
      <c r="H56" s="281"/>
      <c r="I56" s="281"/>
      <c r="J56" s="281"/>
      <c r="K56" s="281"/>
      <c r="L56" s="281"/>
      <c r="M56" s="281"/>
      <c r="N56" s="281"/>
      <c r="O56" s="281"/>
      <c r="P56" s="281"/>
      <c r="Q56" s="281"/>
      <c r="R56" s="281"/>
      <c r="S56" s="281"/>
      <c r="T56" s="281"/>
      <c r="U56" s="281"/>
      <c r="V56" s="282"/>
    </row>
    <row r="57" spans="3:28">
      <c r="C57" s="272" t="s">
        <v>34</v>
      </c>
      <c r="D57" s="273"/>
      <c r="E57" s="273"/>
      <c r="F57" s="273"/>
      <c r="G57" s="273"/>
      <c r="H57" s="273"/>
      <c r="I57" s="274" t="s">
        <v>35</v>
      </c>
      <c r="J57" s="274"/>
      <c r="K57" s="49"/>
      <c r="L57" s="275" t="s">
        <v>36</v>
      </c>
      <c r="M57" s="275"/>
      <c r="N57" s="275"/>
      <c r="O57" s="275"/>
      <c r="P57" s="275"/>
      <c r="Q57" s="275"/>
      <c r="R57" s="22" t="s">
        <v>37</v>
      </c>
      <c r="S57" s="22"/>
      <c r="T57" s="22"/>
      <c r="U57" s="22"/>
      <c r="V57" s="22"/>
    </row>
    <row r="58" spans="3:28" ht="38.25">
      <c r="C58" s="183" t="s">
        <v>38</v>
      </c>
      <c r="D58" s="126" t="s">
        <v>39</v>
      </c>
      <c r="E58" s="126" t="s">
        <v>40</v>
      </c>
      <c r="F58" s="126" t="s">
        <v>41</v>
      </c>
      <c r="G58" s="126" t="s">
        <v>42</v>
      </c>
      <c r="H58" s="126" t="s">
        <v>43</v>
      </c>
      <c r="I58" s="134" t="s">
        <v>44</v>
      </c>
      <c r="J58" s="1" t="s">
        <v>45</v>
      </c>
      <c r="K58" s="127" t="s">
        <v>46</v>
      </c>
      <c r="L58" s="87" t="s">
        <v>47</v>
      </c>
      <c r="M58" s="87" t="s">
        <v>48</v>
      </c>
      <c r="N58" s="87" t="s">
        <v>49</v>
      </c>
      <c r="O58" s="87" t="s">
        <v>50</v>
      </c>
      <c r="P58" s="87" t="s">
        <v>222</v>
      </c>
      <c r="Q58" s="87" t="s">
        <v>46</v>
      </c>
      <c r="R58" s="87" t="s">
        <v>51</v>
      </c>
      <c r="S58" s="87" t="s">
        <v>49</v>
      </c>
      <c r="T58" s="87" t="s">
        <v>53</v>
      </c>
      <c r="U58" s="87" t="s">
        <v>224</v>
      </c>
      <c r="V58" s="87" t="s">
        <v>46</v>
      </c>
    </row>
    <row r="59" spans="3:28">
      <c r="C59" s="207" t="s">
        <v>54</v>
      </c>
      <c r="D59" s="208">
        <v>12.5</v>
      </c>
      <c r="E59" s="208" t="s">
        <v>436</v>
      </c>
      <c r="F59" s="208">
        <v>64</v>
      </c>
      <c r="G59" s="208">
        <v>3.66</v>
      </c>
      <c r="H59" s="208">
        <v>150</v>
      </c>
      <c r="I59" s="209">
        <v>6.29</v>
      </c>
      <c r="J59" s="210">
        <v>1.258</v>
      </c>
      <c r="K59" s="208" t="s">
        <v>425</v>
      </c>
      <c r="L59" s="208" t="s">
        <v>56</v>
      </c>
      <c r="M59" s="208" t="s">
        <v>57</v>
      </c>
      <c r="N59" s="208">
        <v>1</v>
      </c>
      <c r="O59" s="209">
        <v>483</v>
      </c>
      <c r="P59" s="209">
        <v>20.37</v>
      </c>
      <c r="Q59" s="209" t="s">
        <v>425</v>
      </c>
      <c r="R59" s="208" t="s">
        <v>58</v>
      </c>
      <c r="S59" s="208">
        <v>8</v>
      </c>
      <c r="T59" s="211">
        <v>156.68038790179097</v>
      </c>
      <c r="U59" s="211">
        <v>31.799600000000002</v>
      </c>
      <c r="V59" s="209" t="s">
        <v>425</v>
      </c>
    </row>
    <row r="60" spans="3:28">
      <c r="C60" s="212" t="s">
        <v>54</v>
      </c>
      <c r="D60" s="213">
        <v>12.5</v>
      </c>
      <c r="E60" s="213" t="s">
        <v>436</v>
      </c>
      <c r="F60" s="213">
        <v>64</v>
      </c>
      <c r="G60" s="213">
        <v>3.66</v>
      </c>
      <c r="H60" s="213">
        <v>125</v>
      </c>
      <c r="I60" s="214">
        <v>7.55</v>
      </c>
      <c r="J60" s="215">
        <v>0.93476190476190479</v>
      </c>
      <c r="K60" s="213" t="s">
        <v>438</v>
      </c>
      <c r="L60" s="213" t="s">
        <v>56</v>
      </c>
      <c r="M60" s="213" t="s">
        <v>57</v>
      </c>
      <c r="N60" s="213">
        <v>1</v>
      </c>
      <c r="O60" s="214">
        <v>483</v>
      </c>
      <c r="P60" s="214">
        <v>47.09061538461539</v>
      </c>
      <c r="Q60" s="214" t="s">
        <v>425</v>
      </c>
      <c r="R60" s="213" t="s">
        <v>58</v>
      </c>
      <c r="S60" s="213">
        <v>8</v>
      </c>
      <c r="T60" s="216">
        <v>173.65038757698619</v>
      </c>
      <c r="U60" s="216">
        <v>80.906215384615393</v>
      </c>
      <c r="V60" s="214" t="s">
        <v>425</v>
      </c>
    </row>
    <row r="61" spans="3:28">
      <c r="C61" s="212" t="s">
        <v>54</v>
      </c>
      <c r="D61" s="213">
        <v>12.5</v>
      </c>
      <c r="E61" s="213" t="s">
        <v>436</v>
      </c>
      <c r="F61" s="213">
        <v>64</v>
      </c>
      <c r="G61" s="213">
        <v>3.66</v>
      </c>
      <c r="H61" s="213">
        <v>75</v>
      </c>
      <c r="I61" s="214">
        <v>12.58</v>
      </c>
      <c r="J61" s="215">
        <v>1.1278620689655172</v>
      </c>
      <c r="K61" s="213" t="s">
        <v>425</v>
      </c>
      <c r="L61" s="213" t="s">
        <v>56</v>
      </c>
      <c r="M61" s="213" t="s">
        <v>57</v>
      </c>
      <c r="N61" s="213">
        <v>1</v>
      </c>
      <c r="O61" s="214">
        <v>483</v>
      </c>
      <c r="P61" s="214">
        <v>87.595846153846139</v>
      </c>
      <c r="Q61" s="214" t="s">
        <v>425</v>
      </c>
      <c r="R61" s="213" t="s">
        <v>58</v>
      </c>
      <c r="S61" s="213">
        <v>12</v>
      </c>
      <c r="T61" s="216">
        <v>260.47558136547929</v>
      </c>
      <c r="U61" s="216">
        <v>143.79744615384615</v>
      </c>
      <c r="V61" s="214" t="s">
        <v>425</v>
      </c>
    </row>
    <row r="62" spans="3:28">
      <c r="C62" s="212" t="s">
        <v>54</v>
      </c>
      <c r="D62" s="213">
        <v>12.5</v>
      </c>
      <c r="E62" s="213" t="s">
        <v>436</v>
      </c>
      <c r="F62" s="213">
        <v>64</v>
      </c>
      <c r="G62" s="213">
        <v>3.66</v>
      </c>
      <c r="H62" s="213">
        <v>50</v>
      </c>
      <c r="I62" s="214">
        <v>18.87</v>
      </c>
      <c r="J62" s="215">
        <v>1.3441643835616439</v>
      </c>
      <c r="K62" s="213" t="s">
        <v>425</v>
      </c>
      <c r="L62" s="213" t="s">
        <v>56</v>
      </c>
      <c r="M62" s="213" t="s">
        <v>57</v>
      </c>
      <c r="N62" s="213">
        <v>1</v>
      </c>
      <c r="O62" s="214">
        <v>483</v>
      </c>
      <c r="P62" s="214">
        <v>141.02415384615384</v>
      </c>
      <c r="Q62" s="214" t="s">
        <v>425</v>
      </c>
      <c r="R62" s="213" t="s">
        <v>58</v>
      </c>
      <c r="S62" s="213">
        <v>16</v>
      </c>
      <c r="T62" s="216">
        <v>347.30077515397238</v>
      </c>
      <c r="U62" s="216">
        <v>219.61175384615385</v>
      </c>
      <c r="V62" s="214" t="s">
        <v>425</v>
      </c>
    </row>
    <row r="63" spans="3:28">
      <c r="C63" s="212" t="s">
        <v>54</v>
      </c>
      <c r="D63" s="213">
        <v>12.5</v>
      </c>
      <c r="E63" s="213" t="s">
        <v>436</v>
      </c>
      <c r="F63" s="213">
        <v>64</v>
      </c>
      <c r="G63" s="213">
        <v>3.66</v>
      </c>
      <c r="H63" s="213">
        <v>50</v>
      </c>
      <c r="I63" s="214">
        <v>18.87</v>
      </c>
      <c r="J63" s="215">
        <v>1.0902666666666667</v>
      </c>
      <c r="K63" s="213" t="s">
        <v>425</v>
      </c>
      <c r="L63" s="213" t="s">
        <v>56</v>
      </c>
      <c r="M63" s="213" t="s">
        <v>57</v>
      </c>
      <c r="N63" s="213">
        <v>1</v>
      </c>
      <c r="O63" s="214">
        <v>483</v>
      </c>
      <c r="P63" s="214">
        <v>209.09861538461536</v>
      </c>
      <c r="Q63" s="214" t="s">
        <v>425</v>
      </c>
      <c r="R63" s="213" t="s">
        <v>58</v>
      </c>
      <c r="S63" s="213">
        <v>20</v>
      </c>
      <c r="T63" s="216">
        <v>434.12596894246542</v>
      </c>
      <c r="U63" s="216">
        <v>310.07221538461539</v>
      </c>
      <c r="V63" s="214" t="s">
        <v>425</v>
      </c>
    </row>
    <row r="64" spans="3:28">
      <c r="C64" s="217" t="s">
        <v>54</v>
      </c>
      <c r="D64" s="218">
        <v>12.5</v>
      </c>
      <c r="E64" s="218" t="s">
        <v>436</v>
      </c>
      <c r="F64" s="218">
        <v>64</v>
      </c>
      <c r="G64" s="218">
        <v>3.66</v>
      </c>
      <c r="H64" s="218">
        <v>50</v>
      </c>
      <c r="I64" s="219">
        <v>18.87</v>
      </c>
      <c r="J64" s="220">
        <v>0.99115151515151534</v>
      </c>
      <c r="K64" s="218" t="s">
        <v>438</v>
      </c>
      <c r="L64" s="218" t="s">
        <v>56</v>
      </c>
      <c r="M64" s="218" t="s">
        <v>57</v>
      </c>
      <c r="N64" s="218">
        <v>1</v>
      </c>
      <c r="O64" s="219">
        <v>483</v>
      </c>
      <c r="P64" s="219">
        <v>284.926923076923</v>
      </c>
      <c r="Q64" s="219" t="s">
        <v>425</v>
      </c>
      <c r="R64" s="218" t="s">
        <v>58</v>
      </c>
      <c r="S64" s="218">
        <v>24</v>
      </c>
      <c r="T64" s="221">
        <v>520.95116273095857</v>
      </c>
      <c r="U64" s="221">
        <v>408.286523076923</v>
      </c>
      <c r="V64" s="219" t="s">
        <v>425</v>
      </c>
    </row>
    <row r="65" spans="3:27"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8"/>
      <c r="S65" s="48"/>
      <c r="T65" s="48"/>
      <c r="U65" s="48"/>
      <c r="V65" s="48"/>
    </row>
    <row r="66" spans="3:27"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8"/>
      <c r="S66" s="48"/>
      <c r="T66" s="48"/>
      <c r="U66" s="48"/>
      <c r="V66" s="48"/>
    </row>
    <row r="67" spans="3:27" ht="15" customHeight="1">
      <c r="C67" s="265" t="s">
        <v>21</v>
      </c>
      <c r="D67" s="283" t="s">
        <v>61</v>
      </c>
      <c r="E67" s="285" t="s">
        <v>62</v>
      </c>
      <c r="F67" s="285"/>
      <c r="G67" s="285"/>
      <c r="H67" s="276" t="s">
        <v>63</v>
      </c>
      <c r="I67" s="276"/>
      <c r="J67" s="276"/>
      <c r="K67" s="285" t="s">
        <v>64</v>
      </c>
      <c r="L67" s="285"/>
      <c r="M67" s="285"/>
      <c r="N67" s="276" t="s">
        <v>65</v>
      </c>
      <c r="O67" s="276"/>
      <c r="P67" s="276"/>
      <c r="Q67" s="47"/>
      <c r="R67" s="48"/>
      <c r="S67" s="48"/>
      <c r="T67" s="48"/>
      <c r="U67" s="48"/>
      <c r="V67" s="48"/>
    </row>
    <row r="68" spans="3:27">
      <c r="C68" s="266"/>
      <c r="D68" s="284"/>
      <c r="E68" s="191" t="s">
        <v>47</v>
      </c>
      <c r="F68" s="191" t="s">
        <v>66</v>
      </c>
      <c r="G68" s="191" t="s">
        <v>67</v>
      </c>
      <c r="H68" s="192" t="s">
        <v>68</v>
      </c>
      <c r="I68" s="192" t="s">
        <v>66</v>
      </c>
      <c r="J68" s="192" t="s">
        <v>67</v>
      </c>
      <c r="K68" s="191" t="s">
        <v>68</v>
      </c>
      <c r="L68" s="191" t="s">
        <v>66</v>
      </c>
      <c r="M68" s="191" t="s">
        <v>67</v>
      </c>
      <c r="N68" s="192" t="s">
        <v>69</v>
      </c>
      <c r="O68" s="192" t="s">
        <v>66</v>
      </c>
      <c r="P68" s="192" t="s">
        <v>67</v>
      </c>
      <c r="Q68" s="47"/>
      <c r="R68" s="48"/>
      <c r="S68" s="48"/>
      <c r="T68" s="48"/>
      <c r="U68" s="48"/>
      <c r="V68" s="48"/>
    </row>
    <row r="69" spans="3:27">
      <c r="C69" s="3" t="s">
        <v>32</v>
      </c>
      <c r="D69" s="96">
        <v>2.6</v>
      </c>
      <c r="E69" s="14" t="s">
        <v>70</v>
      </c>
      <c r="F69" s="97">
        <v>3</v>
      </c>
      <c r="G69" s="97">
        <v>1153.8461538461538</v>
      </c>
      <c r="H69" s="98"/>
      <c r="I69" s="98"/>
      <c r="J69" s="98"/>
      <c r="K69" s="91"/>
      <c r="L69" s="91"/>
      <c r="M69" s="91"/>
      <c r="N69" s="98"/>
      <c r="O69" s="98"/>
      <c r="P69" s="98"/>
      <c r="Q69" s="47"/>
      <c r="R69" s="48"/>
      <c r="S69" s="48"/>
      <c r="T69" s="48"/>
      <c r="U69" s="48"/>
      <c r="V69" s="48"/>
    </row>
    <row r="70" spans="3:27">
      <c r="C70" s="20">
        <v>5</v>
      </c>
      <c r="D70" s="237">
        <v>4.2</v>
      </c>
      <c r="E70" s="227" t="s">
        <v>70</v>
      </c>
      <c r="F70" s="238">
        <v>3</v>
      </c>
      <c r="G70" s="238">
        <v>714.28571428571433</v>
      </c>
      <c r="H70" s="143"/>
      <c r="I70" s="143"/>
      <c r="J70" s="143"/>
      <c r="K70" s="231"/>
      <c r="L70" s="231"/>
      <c r="M70" s="231"/>
      <c r="N70" s="143"/>
      <c r="O70" s="143"/>
      <c r="P70" s="143"/>
      <c r="Q70" s="47"/>
      <c r="R70" s="48"/>
      <c r="S70" s="48"/>
      <c r="T70" s="48"/>
      <c r="U70" s="48"/>
      <c r="V70" s="48"/>
    </row>
    <row r="71" spans="3:27">
      <c r="C71" s="20">
        <v>4</v>
      </c>
      <c r="D71" s="237">
        <v>5.8</v>
      </c>
      <c r="E71" s="227" t="s">
        <v>70</v>
      </c>
      <c r="F71" s="238">
        <v>3</v>
      </c>
      <c r="G71" s="238">
        <v>517.24137931034488</v>
      </c>
      <c r="H71" s="143"/>
      <c r="I71" s="143"/>
      <c r="J71" s="143"/>
      <c r="K71" s="231"/>
      <c r="L71" s="231"/>
      <c r="M71" s="231"/>
      <c r="N71" s="143"/>
      <c r="O71" s="143"/>
      <c r="P71" s="143"/>
      <c r="Q71" s="47"/>
      <c r="R71" s="48"/>
      <c r="S71" s="48"/>
      <c r="T71" s="48"/>
      <c r="U71" s="48"/>
      <c r="V71" s="48"/>
    </row>
    <row r="72" spans="3:27">
      <c r="C72" s="20">
        <v>3</v>
      </c>
      <c r="D72" s="237">
        <v>7.3</v>
      </c>
      <c r="E72" s="227" t="s">
        <v>70</v>
      </c>
      <c r="F72" s="238">
        <v>3</v>
      </c>
      <c r="G72" s="238">
        <v>410.95890410958907</v>
      </c>
      <c r="H72" s="143"/>
      <c r="I72" s="143"/>
      <c r="J72" s="143"/>
      <c r="K72" s="231"/>
      <c r="L72" s="231"/>
      <c r="M72" s="231"/>
      <c r="N72" s="143"/>
      <c r="O72" s="143"/>
      <c r="P72" s="143"/>
      <c r="Q72" s="47"/>
      <c r="R72" s="48"/>
      <c r="S72" s="48"/>
      <c r="T72" s="48"/>
      <c r="U72" s="48"/>
      <c r="V72" s="48"/>
    </row>
    <row r="73" spans="3:27">
      <c r="C73" s="20">
        <v>2</v>
      </c>
      <c r="D73" s="237">
        <v>9</v>
      </c>
      <c r="E73" s="227" t="s">
        <v>70</v>
      </c>
      <c r="F73" s="238">
        <v>3</v>
      </c>
      <c r="G73" s="238">
        <v>333.33333333333331</v>
      </c>
      <c r="H73" s="143"/>
      <c r="I73" s="143"/>
      <c r="J73" s="143"/>
      <c r="K73" s="231"/>
      <c r="L73" s="231"/>
      <c r="M73" s="231"/>
      <c r="N73" s="143"/>
      <c r="O73" s="143"/>
      <c r="P73" s="143"/>
      <c r="Q73" s="47"/>
      <c r="R73" s="48"/>
      <c r="S73" s="48"/>
      <c r="T73" s="48"/>
      <c r="U73" s="48"/>
      <c r="V73" s="48"/>
    </row>
    <row r="74" spans="3:27">
      <c r="C74" s="21">
        <v>1</v>
      </c>
      <c r="D74" s="68">
        <v>9.9</v>
      </c>
      <c r="E74" s="40" t="s">
        <v>70</v>
      </c>
      <c r="F74" s="67">
        <v>3</v>
      </c>
      <c r="G74" s="67">
        <v>303.03030303030306</v>
      </c>
      <c r="H74" s="74"/>
      <c r="I74" s="74"/>
      <c r="J74" s="74"/>
      <c r="K74" s="53"/>
      <c r="L74" s="53"/>
      <c r="M74" s="53"/>
      <c r="N74" s="74"/>
      <c r="O74" s="74"/>
      <c r="P74" s="74"/>
      <c r="Q74" s="47"/>
      <c r="R74" s="48"/>
      <c r="S74" s="48"/>
      <c r="T74" s="48"/>
      <c r="U74" s="48"/>
      <c r="V74" s="48"/>
    </row>
    <row r="75" spans="3:27"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8"/>
      <c r="S75" s="48"/>
      <c r="T75" s="48"/>
      <c r="U75" s="48"/>
      <c r="V75" s="48"/>
    </row>
    <row r="76" spans="3:27"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8"/>
      <c r="S76" s="48"/>
      <c r="T76" s="48"/>
      <c r="U76" s="48"/>
      <c r="V76" s="48"/>
    </row>
    <row r="77" spans="3:27"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8"/>
      <c r="S77" s="48"/>
      <c r="T77" s="48"/>
      <c r="U77" s="48"/>
      <c r="V77" s="48"/>
    </row>
    <row r="78" spans="3:27" ht="15">
      <c r="C78" s="19" t="s">
        <v>71</v>
      </c>
      <c r="D78" s="20"/>
      <c r="E78" s="20"/>
      <c r="F78" s="20"/>
      <c r="G78" s="20"/>
      <c r="H78" s="30"/>
      <c r="I78" s="20"/>
      <c r="J78" s="20"/>
      <c r="K78" s="20"/>
      <c r="L78" s="20"/>
      <c r="M78" s="30"/>
      <c r="N78" s="20"/>
      <c r="O78" s="20"/>
      <c r="P78" s="20"/>
      <c r="Q78" s="20"/>
    </row>
    <row r="79" spans="3:27">
      <c r="C79" s="30"/>
      <c r="D79" s="20"/>
      <c r="E79" s="20"/>
      <c r="F79" s="20"/>
      <c r="G79" s="20"/>
      <c r="H79" s="30"/>
      <c r="I79" s="20"/>
      <c r="J79" s="20"/>
      <c r="K79" s="20"/>
      <c r="L79" s="20"/>
      <c r="M79" s="30"/>
      <c r="N79" s="20"/>
      <c r="O79" s="20"/>
      <c r="P79" s="20"/>
      <c r="Q79" s="20"/>
    </row>
    <row r="80" spans="3:27" ht="25.5">
      <c r="C80" s="263" t="s">
        <v>72</v>
      </c>
      <c r="D80" s="289" t="s">
        <v>73</v>
      </c>
      <c r="E80" s="289"/>
      <c r="F80" s="289"/>
      <c r="G80" s="289" t="s">
        <v>74</v>
      </c>
      <c r="H80" s="289"/>
      <c r="I80" s="289" t="s">
        <v>75</v>
      </c>
      <c r="J80" s="289"/>
      <c r="K80" s="289"/>
      <c r="L80" s="289" t="s">
        <v>76</v>
      </c>
      <c r="M80" s="289"/>
      <c r="N80" s="289"/>
      <c r="O80" s="289"/>
      <c r="P80" s="289" t="s">
        <v>77</v>
      </c>
      <c r="Q80" s="289"/>
      <c r="R80" s="289"/>
      <c r="S80" s="87" t="s">
        <v>78</v>
      </c>
      <c r="T80" s="69"/>
      <c r="U80" s="69"/>
      <c r="V80" s="134" t="s">
        <v>437</v>
      </c>
      <c r="W80" s="69"/>
      <c r="X80" s="38"/>
      <c r="Y80" s="38"/>
      <c r="Z80" s="38"/>
      <c r="AA80" s="38"/>
    </row>
    <row r="81" spans="3:27">
      <c r="C81" s="264"/>
      <c r="D81" s="127" t="s">
        <v>79</v>
      </c>
      <c r="E81" s="127" t="s">
        <v>80</v>
      </c>
      <c r="F81" s="127" t="s">
        <v>81</v>
      </c>
      <c r="G81" s="126" t="s">
        <v>82</v>
      </c>
      <c r="H81" s="126" t="s">
        <v>83</v>
      </c>
      <c r="I81" s="126" t="s">
        <v>84</v>
      </c>
      <c r="J81" s="126" t="s">
        <v>85</v>
      </c>
      <c r="K81" s="126" t="s">
        <v>83</v>
      </c>
      <c r="L81" s="126" t="s">
        <v>86</v>
      </c>
      <c r="M81" s="126" t="s">
        <v>87</v>
      </c>
      <c r="N81" s="126" t="s">
        <v>88</v>
      </c>
      <c r="O81" s="126" t="s">
        <v>89</v>
      </c>
      <c r="P81" s="193" t="s">
        <v>90</v>
      </c>
      <c r="Q81" s="193" t="s">
        <v>91</v>
      </c>
      <c r="R81" s="193" t="s">
        <v>92</v>
      </c>
      <c r="S81" s="127" t="s">
        <v>93</v>
      </c>
      <c r="T81" s="126" t="s">
        <v>94</v>
      </c>
      <c r="U81" s="127" t="s">
        <v>95</v>
      </c>
      <c r="V81" s="127" t="s">
        <v>96</v>
      </c>
      <c r="W81" s="127" t="s">
        <v>423</v>
      </c>
      <c r="X81" s="25"/>
      <c r="Y81" s="134" t="s">
        <v>424</v>
      </c>
      <c r="Z81" s="134" t="s">
        <v>95</v>
      </c>
      <c r="AA81" s="134" t="s">
        <v>423</v>
      </c>
    </row>
    <row r="82" spans="3:27">
      <c r="C82" s="3" t="s">
        <v>32</v>
      </c>
      <c r="D82" s="11">
        <v>0</v>
      </c>
      <c r="E82" s="99">
        <v>1.7557286694315712E+16</v>
      </c>
      <c r="F82" s="9">
        <v>1.9919436684934608E-2</v>
      </c>
      <c r="G82" s="11">
        <v>6900</v>
      </c>
      <c r="H82" s="9">
        <v>1.2924637681159421</v>
      </c>
      <c r="I82" s="9">
        <v>390</v>
      </c>
      <c r="J82" s="9">
        <v>0.14324899280424908</v>
      </c>
      <c r="K82" s="9">
        <v>1.2283601132964359</v>
      </c>
      <c r="L82" s="9">
        <v>5.0999999999999997E-2</v>
      </c>
      <c r="M82" s="9">
        <v>1.016</v>
      </c>
      <c r="N82" s="9">
        <v>0.13385839450800915</v>
      </c>
      <c r="O82" s="9">
        <v>4.5913429316247145E-2</v>
      </c>
      <c r="P82" s="99">
        <v>4.0346950647206464E-4</v>
      </c>
      <c r="Q82" s="99">
        <v>2.1827212696959794E-4</v>
      </c>
      <c r="R82" s="9">
        <v>2.1325738027049028</v>
      </c>
      <c r="S82" s="9">
        <v>4.7192305501184624</v>
      </c>
      <c r="T82" s="11">
        <v>3430</v>
      </c>
      <c r="U82" s="100">
        <v>1.3758689650491143E-3</v>
      </c>
      <c r="V82" s="100">
        <v>2E-3</v>
      </c>
      <c r="W82" s="63" t="str">
        <f>IF(U82&lt;=V82,"OK","NOT OK")</f>
        <v>OK</v>
      </c>
      <c r="X82" s="16"/>
      <c r="Y82" s="8">
        <f>S82*5.1</f>
        <v>24.068075805604156</v>
      </c>
      <c r="Z82" s="194">
        <f>Y82/T82</f>
        <v>7.0169317217504829E-3</v>
      </c>
      <c r="AA82" s="63" t="str">
        <f>IF(V82&gt;Z82,"OK","NOT OK")</f>
        <v>NOT OK</v>
      </c>
    </row>
    <row r="83" spans="3:27">
      <c r="C83" s="20">
        <v>5</v>
      </c>
      <c r="D83" s="142">
        <v>89180000</v>
      </c>
      <c r="E83" s="239">
        <v>1.7557286694315712E+16</v>
      </c>
      <c r="F83" s="63">
        <v>5.2135253922597949E-2</v>
      </c>
      <c r="G83" s="142">
        <v>6900</v>
      </c>
      <c r="H83" s="63">
        <v>1.9478260869565218</v>
      </c>
      <c r="I83" s="63">
        <v>525</v>
      </c>
      <c r="J83" s="63">
        <v>0.25958582275917919</v>
      </c>
      <c r="K83" s="63">
        <v>2.0766865820734335</v>
      </c>
      <c r="L83" s="63">
        <v>5.0999999999999997E-2</v>
      </c>
      <c r="M83" s="63">
        <v>1.016</v>
      </c>
      <c r="N83" s="63">
        <v>0.25873132814645311</v>
      </c>
      <c r="O83" s="63">
        <v>8.2794025006865002E-2</v>
      </c>
      <c r="P83" s="239">
        <v>3.9475838255737021E-4</v>
      </c>
      <c r="Q83" s="239">
        <v>2.0488628751879701E-4</v>
      </c>
      <c r="R83" s="63">
        <v>1.918862944243735</v>
      </c>
      <c r="S83" s="63">
        <v>6.0783048922031533</v>
      </c>
      <c r="T83" s="142">
        <v>3200</v>
      </c>
      <c r="U83" s="65">
        <v>1.8994702788134854E-3</v>
      </c>
      <c r="V83" s="65">
        <v>2E-3</v>
      </c>
      <c r="W83" s="63" t="str">
        <f t="shared" ref="W83:W87" si="17">IF(U83&lt;=V83,"OK","NOT OK")</f>
        <v>OK</v>
      </c>
      <c r="X83" s="16"/>
      <c r="Y83" s="42">
        <f t="shared" ref="Y83:Y87" si="18">S83*5.1</f>
        <v>30.999354950236079</v>
      </c>
      <c r="Z83" s="195">
        <f t="shared" ref="Z83:Z87" si="19">Y83/T83</f>
        <v>9.687298421948775E-3</v>
      </c>
      <c r="AA83" s="63" t="str">
        <f t="shared" ref="AA83:AA87" si="20">IF(V83&gt;Z83,"OK","NOT OK")</f>
        <v>NOT OK</v>
      </c>
    </row>
    <row r="84" spans="3:27">
      <c r="C84" s="20">
        <v>4</v>
      </c>
      <c r="D84" s="240">
        <v>223580000</v>
      </c>
      <c r="E84" s="241">
        <v>2.0683221905185976E+16</v>
      </c>
      <c r="F84" s="242">
        <v>8.5975206126894632E-2</v>
      </c>
      <c r="G84" s="240">
        <v>6900</v>
      </c>
      <c r="H84" s="242">
        <v>2.689855072463768</v>
      </c>
      <c r="I84" s="242">
        <v>435</v>
      </c>
      <c r="J84" s="242">
        <v>0.17821361382895484</v>
      </c>
      <c r="K84" s="242">
        <v>1.4257089106316387</v>
      </c>
      <c r="L84" s="242">
        <v>0.127</v>
      </c>
      <c r="M84" s="242">
        <v>0.432</v>
      </c>
      <c r="N84" s="242">
        <v>0.35550944020921871</v>
      </c>
      <c r="O84" s="242">
        <v>0.11376302086694999</v>
      </c>
      <c r="P84" s="241">
        <v>3.6625648424514336E-4</v>
      </c>
      <c r="Q84" s="241">
        <v>1.790131547041517E-4</v>
      </c>
      <c r="R84" s="63">
        <v>1.7448628446377443</v>
      </c>
      <c r="S84" s="63">
        <v>6.060165054726995</v>
      </c>
      <c r="T84" s="142">
        <v>3200</v>
      </c>
      <c r="U84" s="65">
        <v>1.893801579602186E-3</v>
      </c>
      <c r="V84" s="65">
        <v>2E-3</v>
      </c>
      <c r="W84" s="63" t="str">
        <f t="shared" si="17"/>
        <v>OK</v>
      </c>
      <c r="X84" s="16"/>
      <c r="Y84" s="42">
        <f t="shared" si="18"/>
        <v>30.906841779107673</v>
      </c>
      <c r="Z84" s="195">
        <f t="shared" si="19"/>
        <v>9.6583880559711482E-3</v>
      </c>
      <c r="AA84" s="63" t="str">
        <f t="shared" si="20"/>
        <v>NOT OK</v>
      </c>
    </row>
    <row r="85" spans="3:27">
      <c r="C85" s="20">
        <v>3</v>
      </c>
      <c r="D85" s="240">
        <v>409180000</v>
      </c>
      <c r="E85" s="241">
        <v>2.2697815496147372E+16</v>
      </c>
      <c r="F85" s="242">
        <v>0.12742883856631942</v>
      </c>
      <c r="G85" s="240">
        <v>6900</v>
      </c>
      <c r="H85" s="242">
        <v>3.3855072463768114</v>
      </c>
      <c r="I85" s="242">
        <v>365</v>
      </c>
      <c r="J85" s="242">
        <v>0.12547236730010577</v>
      </c>
      <c r="K85" s="242">
        <v>1.0037789384008462</v>
      </c>
      <c r="L85" s="242">
        <v>0.127</v>
      </c>
      <c r="M85" s="242">
        <v>0.432</v>
      </c>
      <c r="N85" s="242">
        <v>0.41347101327231123</v>
      </c>
      <c r="O85" s="242">
        <v>0.13231072424713961</v>
      </c>
      <c r="P85" s="241">
        <v>3.1730782408760021E-4</v>
      </c>
      <c r="Q85" s="241">
        <v>1.4346221068322983E-4</v>
      </c>
      <c r="R85" s="63">
        <v>1.4744641112666561</v>
      </c>
      <c r="S85" s="63">
        <v>6.1234898588577735</v>
      </c>
      <c r="T85" s="142">
        <v>3200</v>
      </c>
      <c r="U85" s="65">
        <v>1.9135905808930543E-3</v>
      </c>
      <c r="V85" s="65">
        <v>2E-3</v>
      </c>
      <c r="W85" s="63" t="str">
        <f t="shared" si="17"/>
        <v>OK</v>
      </c>
      <c r="X85" s="16"/>
      <c r="Y85" s="42">
        <f t="shared" si="18"/>
        <v>31.229798280174641</v>
      </c>
      <c r="Z85" s="195">
        <f t="shared" si="19"/>
        <v>9.7593119625545757E-3</v>
      </c>
      <c r="AA85" s="63" t="str">
        <f t="shared" si="20"/>
        <v>NOT OK</v>
      </c>
    </row>
    <row r="86" spans="3:27">
      <c r="C86" s="20">
        <v>2</v>
      </c>
      <c r="D86" s="240">
        <v>642780000</v>
      </c>
      <c r="E86" s="241">
        <v>2.4100700554963128E+16</v>
      </c>
      <c r="F86" s="242">
        <v>0.17734229717732533</v>
      </c>
      <c r="G86" s="240">
        <v>6900</v>
      </c>
      <c r="H86" s="242">
        <v>4.1739130434782608</v>
      </c>
      <c r="I86" s="242">
        <v>450</v>
      </c>
      <c r="J86" s="242">
        <v>0.19071611468021329</v>
      </c>
      <c r="K86" s="242">
        <v>1.5257289174417064</v>
      </c>
      <c r="L86" s="242">
        <v>0.127</v>
      </c>
      <c r="M86" s="242">
        <v>0.432</v>
      </c>
      <c r="N86" s="242">
        <v>0.47884031696632889</v>
      </c>
      <c r="O86" s="242">
        <v>0.15322890142922524</v>
      </c>
      <c r="P86" s="241">
        <v>2.4315372761581913E-4</v>
      </c>
      <c r="Q86" s="241">
        <v>1.0211510935599871E-4</v>
      </c>
      <c r="R86" s="63">
        <v>1.1048602783098171</v>
      </c>
      <c r="S86" s="63">
        <v>7.1350734378363354</v>
      </c>
      <c r="T86" s="142">
        <v>3200</v>
      </c>
      <c r="U86" s="65">
        <v>2.2297104493238548E-3</v>
      </c>
      <c r="V86" s="65">
        <v>2E-3</v>
      </c>
      <c r="W86" s="63" t="str">
        <f t="shared" si="17"/>
        <v>NOT OK</v>
      </c>
      <c r="X86" s="16"/>
      <c r="Y86" s="42">
        <f t="shared" si="18"/>
        <v>36.38887453296531</v>
      </c>
      <c r="Z86" s="195">
        <f t="shared" si="19"/>
        <v>1.1371523291551659E-2</v>
      </c>
      <c r="AA86" s="63" t="str">
        <f t="shared" si="20"/>
        <v>NOT OK</v>
      </c>
    </row>
    <row r="87" spans="3:27">
      <c r="C87" s="21">
        <v>1</v>
      </c>
      <c r="D87" s="70">
        <v>930780000</v>
      </c>
      <c r="E87" s="72">
        <v>2.5131047591269388E+16</v>
      </c>
      <c r="F87" s="71">
        <v>0.23265793352885322</v>
      </c>
      <c r="G87" s="70">
        <v>6900</v>
      </c>
      <c r="H87" s="71">
        <v>4.5913043478260871</v>
      </c>
      <c r="I87" s="71">
        <v>495</v>
      </c>
      <c r="J87" s="71">
        <v>0.23076649876305808</v>
      </c>
      <c r="K87" s="71">
        <v>1.8461319901044646</v>
      </c>
      <c r="L87" s="71">
        <v>0.127</v>
      </c>
      <c r="M87" s="71">
        <v>0.432</v>
      </c>
      <c r="N87" s="71">
        <v>0.54231077659365812</v>
      </c>
      <c r="O87" s="71">
        <v>0.17353944850997061</v>
      </c>
      <c r="P87" s="72">
        <v>1.3868805060123445E-4</v>
      </c>
      <c r="Q87" s="72">
        <v>5.4231077659365812E-5</v>
      </c>
      <c r="R87" s="64">
        <v>0.61734121043392087</v>
      </c>
      <c r="S87" s="64">
        <v>7.460974930403296</v>
      </c>
      <c r="T87" s="50">
        <v>3200</v>
      </c>
      <c r="U87" s="73">
        <v>2.3315546657510298E-3</v>
      </c>
      <c r="V87" s="73">
        <v>2E-3</v>
      </c>
      <c r="W87" s="64" t="str">
        <f t="shared" si="17"/>
        <v>NOT OK</v>
      </c>
      <c r="X87" s="16"/>
      <c r="Y87" s="29">
        <f t="shared" si="18"/>
        <v>38.050972145056804</v>
      </c>
      <c r="Z87" s="196">
        <f t="shared" si="19"/>
        <v>1.1890928795330252E-2</v>
      </c>
      <c r="AA87" s="64" t="str">
        <f t="shared" si="20"/>
        <v>NOT OK</v>
      </c>
    </row>
    <row r="88" spans="3:27">
      <c r="P88" s="17"/>
      <c r="T88" s="16"/>
      <c r="U88" s="16"/>
      <c r="V88" s="16"/>
      <c r="W88" s="16"/>
      <c r="X88" s="16"/>
      <c r="Y88" s="20"/>
      <c r="Z88" s="17"/>
      <c r="AA88" s="17"/>
    </row>
    <row r="89" spans="3:27">
      <c r="P89" s="17"/>
    </row>
    <row r="90" spans="3:27" ht="15">
      <c r="C90" s="19" t="s">
        <v>97</v>
      </c>
      <c r="P90" s="17"/>
    </row>
    <row r="91" spans="3:27">
      <c r="P91" s="17"/>
    </row>
    <row r="92" spans="3:27" ht="14.25" customHeight="1">
      <c r="C92" s="263" t="s">
        <v>72</v>
      </c>
      <c r="D92" s="275" t="s">
        <v>36</v>
      </c>
      <c r="E92" s="275"/>
      <c r="F92" s="275"/>
      <c r="G92" s="275"/>
      <c r="H92" s="275"/>
      <c r="I92" s="275"/>
      <c r="J92" s="263" t="s">
        <v>98</v>
      </c>
      <c r="K92" s="263"/>
      <c r="L92" s="263" t="s">
        <v>99</v>
      </c>
      <c r="M92" s="263"/>
      <c r="N92" s="263" t="s">
        <v>100</v>
      </c>
      <c r="O92" s="263"/>
      <c r="P92" s="263"/>
    </row>
    <row r="93" spans="3:27" ht="14.25" customHeight="1">
      <c r="C93" s="264"/>
      <c r="D93" s="87" t="s">
        <v>47</v>
      </c>
      <c r="E93" s="87" t="s">
        <v>48</v>
      </c>
      <c r="F93" s="87"/>
      <c r="G93" s="87" t="s">
        <v>50</v>
      </c>
      <c r="H93" s="87" t="s">
        <v>222</v>
      </c>
      <c r="I93" s="87" t="s">
        <v>46</v>
      </c>
      <c r="J93" s="127" t="s">
        <v>47</v>
      </c>
      <c r="K93" s="127" t="s">
        <v>101</v>
      </c>
      <c r="L93" s="25" t="s">
        <v>47</v>
      </c>
      <c r="M93" s="127" t="s">
        <v>66</v>
      </c>
      <c r="N93" s="127" t="s">
        <v>102</v>
      </c>
      <c r="O93" s="127" t="s">
        <v>87</v>
      </c>
      <c r="P93" s="79" t="s">
        <v>103</v>
      </c>
    </row>
    <row r="94" spans="3:27">
      <c r="C94" s="3" t="s">
        <v>32</v>
      </c>
      <c r="D94" s="3" t="s">
        <v>56</v>
      </c>
      <c r="E94" s="3" t="s">
        <v>57</v>
      </c>
      <c r="F94" s="3">
        <v>1</v>
      </c>
      <c r="G94" s="8">
        <v>483</v>
      </c>
      <c r="H94" s="8">
        <v>10.701600000000001</v>
      </c>
      <c r="I94" s="3" t="str">
        <f>IF(G94&gt;H94,"OK","NOT OK")</f>
        <v>OK</v>
      </c>
      <c r="J94" s="3"/>
      <c r="K94" s="3"/>
      <c r="L94" s="10" t="s">
        <v>104</v>
      </c>
      <c r="M94" s="11">
        <v>83.36</v>
      </c>
      <c r="N94" s="101" t="s">
        <v>105</v>
      </c>
      <c r="O94" s="3">
        <v>5.0999999999999997E-2</v>
      </c>
      <c r="P94" s="20">
        <v>1.016</v>
      </c>
    </row>
    <row r="95" spans="3:27">
      <c r="C95" s="20">
        <v>5</v>
      </c>
      <c r="D95" s="20" t="s">
        <v>56</v>
      </c>
      <c r="E95" s="20" t="s">
        <v>57</v>
      </c>
      <c r="F95" s="20">
        <v>1</v>
      </c>
      <c r="G95" s="42">
        <v>483</v>
      </c>
      <c r="H95" s="42">
        <v>26.829600000000003</v>
      </c>
      <c r="I95" s="20" t="str">
        <f t="shared" ref="I95:I99" si="21">IF(G95&gt;H95,"OK","NOT OK")</f>
        <v>OK</v>
      </c>
      <c r="J95" s="20"/>
      <c r="K95" s="20"/>
      <c r="L95" s="30" t="s">
        <v>106</v>
      </c>
      <c r="M95" s="142">
        <v>61.05</v>
      </c>
      <c r="N95" s="30" t="s">
        <v>105</v>
      </c>
      <c r="O95" s="20">
        <v>5.0999999999999997E-2</v>
      </c>
      <c r="P95" s="20">
        <v>1.016</v>
      </c>
    </row>
    <row r="96" spans="3:27">
      <c r="C96" s="20">
        <v>4</v>
      </c>
      <c r="D96" s="20" t="s">
        <v>56</v>
      </c>
      <c r="E96" s="20" t="s">
        <v>57</v>
      </c>
      <c r="F96" s="20">
        <v>1</v>
      </c>
      <c r="G96" s="42">
        <v>483</v>
      </c>
      <c r="H96" s="42">
        <v>49.101599999999998</v>
      </c>
      <c r="I96" s="20" t="str">
        <f t="shared" si="21"/>
        <v>OK</v>
      </c>
      <c r="J96" s="20"/>
      <c r="K96" s="20"/>
      <c r="L96" s="30" t="s">
        <v>106</v>
      </c>
      <c r="M96" s="142">
        <v>61.05</v>
      </c>
      <c r="N96" s="30" t="s">
        <v>107</v>
      </c>
      <c r="O96" s="20">
        <v>0.127</v>
      </c>
      <c r="P96" s="20">
        <v>0.432</v>
      </c>
    </row>
    <row r="97" spans="3:16">
      <c r="C97" s="20">
        <v>3</v>
      </c>
      <c r="D97" s="20" t="s">
        <v>56</v>
      </c>
      <c r="E97" s="20" t="s">
        <v>57</v>
      </c>
      <c r="F97" s="20">
        <v>1</v>
      </c>
      <c r="G97" s="42">
        <v>483</v>
      </c>
      <c r="H97" s="42">
        <v>77.133600000000001</v>
      </c>
      <c r="I97" s="20" t="str">
        <f t="shared" si="21"/>
        <v>OK</v>
      </c>
      <c r="J97" s="20"/>
      <c r="K97" s="20"/>
      <c r="L97" s="30" t="s">
        <v>106</v>
      </c>
      <c r="M97" s="142">
        <v>61.05</v>
      </c>
      <c r="N97" s="30" t="s">
        <v>107</v>
      </c>
      <c r="O97" s="20">
        <v>0.127</v>
      </c>
      <c r="P97" s="20">
        <v>0.432</v>
      </c>
    </row>
    <row r="98" spans="3:16">
      <c r="C98" s="20">
        <v>2</v>
      </c>
      <c r="D98" s="20" t="s">
        <v>56</v>
      </c>
      <c r="E98" s="20" t="s">
        <v>57</v>
      </c>
      <c r="F98" s="20">
        <v>1</v>
      </c>
      <c r="G98" s="42">
        <v>483</v>
      </c>
      <c r="H98" s="42">
        <v>111.6936</v>
      </c>
      <c r="I98" s="20" t="str">
        <f t="shared" si="21"/>
        <v>OK</v>
      </c>
      <c r="J98" s="20"/>
      <c r="K98" s="20"/>
      <c r="L98" s="30" t="s">
        <v>104</v>
      </c>
      <c r="M98" s="142">
        <v>83.36</v>
      </c>
      <c r="N98" s="30" t="s">
        <v>107</v>
      </c>
      <c r="O98" s="20">
        <v>0.127</v>
      </c>
      <c r="P98" s="20">
        <v>0.432</v>
      </c>
    </row>
    <row r="99" spans="3:16">
      <c r="C99" s="21">
        <v>1</v>
      </c>
      <c r="D99" s="21" t="s">
        <v>56</v>
      </c>
      <c r="E99" s="21" t="s">
        <v>57</v>
      </c>
      <c r="F99" s="21">
        <v>1</v>
      </c>
      <c r="G99" s="29">
        <v>483</v>
      </c>
      <c r="H99" s="29">
        <v>149.70959999999999</v>
      </c>
      <c r="I99" s="21" t="str">
        <f t="shared" si="21"/>
        <v>OK</v>
      </c>
      <c r="J99" s="21"/>
      <c r="K99" s="21"/>
      <c r="L99" s="77" t="s">
        <v>104</v>
      </c>
      <c r="M99" s="50">
        <v>83.36</v>
      </c>
      <c r="N99" s="77" t="s">
        <v>107</v>
      </c>
      <c r="O99" s="21">
        <v>0.127</v>
      </c>
      <c r="P99" s="21">
        <v>0.432</v>
      </c>
    </row>
    <row r="100" spans="3:16">
      <c r="P100" s="17"/>
    </row>
    <row r="101" spans="3:16">
      <c r="P101" s="17"/>
    </row>
    <row r="102" spans="3:16">
      <c r="P102" s="17"/>
    </row>
    <row r="104" spans="3:16" ht="15">
      <c r="C104" s="19" t="s">
        <v>108</v>
      </c>
    </row>
    <row r="107" spans="3:16" s="28" customFormat="1">
      <c r="C107" s="24" t="s">
        <v>109</v>
      </c>
      <c r="D107" s="24"/>
      <c r="E107" s="24" t="s">
        <v>110</v>
      </c>
      <c r="F107" s="24"/>
      <c r="G107" s="24" t="s">
        <v>111</v>
      </c>
      <c r="H107" s="34" t="s">
        <v>112</v>
      </c>
    </row>
    <row r="109" spans="3:16">
      <c r="C109" s="17" t="s">
        <v>113</v>
      </c>
      <c r="D109" s="17"/>
      <c r="E109" s="17"/>
      <c r="F109" s="17"/>
      <c r="G109" s="17"/>
      <c r="H109" s="17"/>
      <c r="I109" s="17"/>
      <c r="J109" s="17"/>
      <c r="K109" s="17"/>
      <c r="L109" s="17"/>
    </row>
    <row r="110" spans="3:16">
      <c r="C110" s="17"/>
      <c r="D110" s="17"/>
      <c r="E110" s="17"/>
      <c r="F110" s="17"/>
      <c r="G110" s="17"/>
      <c r="H110" s="17"/>
      <c r="I110" s="17"/>
      <c r="J110" s="17"/>
      <c r="K110" s="17"/>
      <c r="L110" s="17"/>
    </row>
    <row r="111" spans="3:16">
      <c r="C111" s="17"/>
      <c r="D111" s="17"/>
      <c r="E111" s="17"/>
      <c r="F111" s="17"/>
      <c r="G111" s="17"/>
      <c r="H111" s="17"/>
      <c r="I111" s="17"/>
      <c r="J111" s="17"/>
      <c r="K111" s="17"/>
      <c r="L111" s="17"/>
    </row>
    <row r="112" spans="3:16" ht="15.75">
      <c r="C112" s="17"/>
      <c r="D112" s="17"/>
      <c r="E112" s="17" t="s">
        <v>114</v>
      </c>
      <c r="F112" s="17"/>
      <c r="G112" s="17"/>
      <c r="H112" s="17"/>
      <c r="I112" s="17"/>
      <c r="J112" s="17"/>
      <c r="K112" s="17"/>
      <c r="L112" s="17"/>
    </row>
    <row r="113" spans="3:12">
      <c r="C113" s="17"/>
      <c r="D113" s="17"/>
      <c r="E113" s="17"/>
      <c r="F113" s="17"/>
      <c r="G113" s="17"/>
      <c r="H113" s="17"/>
      <c r="I113" s="17"/>
      <c r="J113" s="17"/>
      <c r="K113" s="17"/>
      <c r="L113" s="17"/>
    </row>
    <row r="114" spans="3:12">
      <c r="C114" s="17"/>
      <c r="D114" s="17"/>
      <c r="E114" s="17"/>
      <c r="F114" s="17"/>
      <c r="G114" s="17"/>
      <c r="H114" s="17"/>
      <c r="I114" s="17"/>
      <c r="J114" s="17"/>
      <c r="K114" s="17"/>
      <c r="L114" s="17"/>
    </row>
    <row r="115" spans="3:12">
      <c r="C115" s="27" t="s">
        <v>115</v>
      </c>
      <c r="D115" s="20" t="s">
        <v>116</v>
      </c>
      <c r="E115" s="17" t="s">
        <v>117</v>
      </c>
      <c r="F115" s="17"/>
      <c r="G115" s="17"/>
      <c r="H115" s="17"/>
      <c r="I115" s="17"/>
      <c r="J115" s="17"/>
      <c r="K115" s="17"/>
      <c r="L115" s="17"/>
    </row>
    <row r="116" spans="3:12" ht="15.75">
      <c r="C116" s="17" t="s">
        <v>118</v>
      </c>
      <c r="D116" s="20" t="s">
        <v>116</v>
      </c>
      <c r="E116" s="17" t="s">
        <v>119</v>
      </c>
      <c r="F116" s="17"/>
      <c r="G116" s="17"/>
      <c r="H116" s="17"/>
      <c r="I116" s="17"/>
      <c r="J116" s="17"/>
      <c r="K116" s="17"/>
      <c r="L116" s="17"/>
    </row>
    <row r="117" spans="3:12" ht="15.75">
      <c r="C117" s="17" t="s">
        <v>120</v>
      </c>
      <c r="D117" s="20" t="s">
        <v>116</v>
      </c>
      <c r="E117" s="17" t="s">
        <v>121</v>
      </c>
      <c r="F117" s="17"/>
      <c r="G117" s="17"/>
      <c r="H117" s="17"/>
      <c r="I117" s="17"/>
      <c r="J117" s="17"/>
      <c r="K117" s="17"/>
      <c r="L117" s="17"/>
    </row>
    <row r="118" spans="3:12">
      <c r="C118" s="17" t="s">
        <v>122</v>
      </c>
      <c r="D118" s="20" t="s">
        <v>116</v>
      </c>
      <c r="E118" s="17" t="s">
        <v>123</v>
      </c>
      <c r="F118" s="17"/>
      <c r="G118" s="17"/>
      <c r="H118" s="17"/>
      <c r="I118" s="17"/>
      <c r="J118" s="17"/>
      <c r="K118" s="17"/>
      <c r="L118" s="17"/>
    </row>
    <row r="119" spans="3:12" ht="15.75">
      <c r="C119" s="17" t="s">
        <v>124</v>
      </c>
      <c r="D119" s="20" t="s">
        <v>116</v>
      </c>
      <c r="E119" s="17" t="s">
        <v>125</v>
      </c>
      <c r="F119" s="17"/>
      <c r="G119" s="17"/>
      <c r="H119" s="17"/>
      <c r="I119" s="17"/>
      <c r="J119" s="17"/>
      <c r="K119" s="17"/>
      <c r="L119" s="17"/>
    </row>
    <row r="120" spans="3:12" ht="15.75">
      <c r="C120" s="17" t="s">
        <v>126</v>
      </c>
      <c r="D120" s="20" t="s">
        <v>116</v>
      </c>
      <c r="E120" s="17" t="s">
        <v>127</v>
      </c>
      <c r="F120" s="17"/>
      <c r="G120" s="17"/>
      <c r="H120" s="17"/>
      <c r="I120" s="17"/>
      <c r="J120" s="17"/>
      <c r="K120" s="17"/>
      <c r="L120" s="17"/>
    </row>
    <row r="121" spans="3:12" ht="15.75">
      <c r="C121" s="17" t="s">
        <v>128</v>
      </c>
      <c r="D121" s="20" t="s">
        <v>116</v>
      </c>
      <c r="E121" s="17" t="s">
        <v>129</v>
      </c>
      <c r="F121" s="17"/>
      <c r="G121" s="17"/>
      <c r="H121" s="17"/>
      <c r="I121" s="17"/>
      <c r="J121" s="17"/>
      <c r="K121" s="17"/>
      <c r="L121" s="17"/>
    </row>
    <row r="122" spans="3:12" ht="15.75">
      <c r="C122" s="17" t="s">
        <v>130</v>
      </c>
      <c r="D122" s="20" t="s">
        <v>116</v>
      </c>
      <c r="E122" s="17" t="s">
        <v>131</v>
      </c>
      <c r="F122" s="17"/>
      <c r="G122" s="17"/>
      <c r="H122" s="17"/>
      <c r="I122" s="17"/>
      <c r="J122" s="17"/>
      <c r="K122" s="17"/>
      <c r="L122" s="17"/>
    </row>
    <row r="123" spans="3:12" ht="15.75">
      <c r="C123" s="17" t="s">
        <v>132</v>
      </c>
      <c r="D123" s="20" t="s">
        <v>116</v>
      </c>
      <c r="E123" s="17" t="s">
        <v>133</v>
      </c>
      <c r="F123" s="17"/>
      <c r="G123" s="17"/>
      <c r="H123" s="17"/>
      <c r="I123" s="17"/>
      <c r="J123" s="17"/>
      <c r="K123" s="17"/>
      <c r="L123" s="17"/>
    </row>
    <row r="124" spans="3:12" ht="15.75">
      <c r="C124" s="17" t="s">
        <v>134</v>
      </c>
      <c r="D124" s="20" t="s">
        <v>116</v>
      </c>
      <c r="E124" s="17" t="s">
        <v>135</v>
      </c>
      <c r="F124" s="17"/>
      <c r="G124" s="17"/>
      <c r="H124" s="17"/>
      <c r="I124" s="17"/>
      <c r="J124" s="17"/>
      <c r="K124" s="17"/>
      <c r="L124" s="17"/>
    </row>
    <row r="125" spans="3:12">
      <c r="C125" s="17"/>
      <c r="D125" s="17"/>
      <c r="E125" s="17"/>
      <c r="F125" s="17"/>
      <c r="G125" s="17"/>
      <c r="H125" s="17"/>
      <c r="I125" s="17"/>
      <c r="J125" s="17"/>
      <c r="K125" s="17"/>
      <c r="L125" s="17"/>
    </row>
    <row r="126" spans="3:12">
      <c r="C126" s="17"/>
      <c r="D126" s="17"/>
      <c r="E126" s="17"/>
      <c r="F126" s="17"/>
      <c r="G126" s="17"/>
      <c r="H126" s="17"/>
      <c r="I126" s="17"/>
      <c r="J126" s="17"/>
      <c r="K126" s="17"/>
      <c r="L126" s="17"/>
    </row>
    <row r="127" spans="3:12">
      <c r="C127" s="17"/>
      <c r="D127" s="17"/>
      <c r="E127" s="17"/>
      <c r="F127" s="17"/>
      <c r="G127" s="17"/>
      <c r="H127" s="17"/>
      <c r="I127" s="17"/>
      <c r="J127" s="17"/>
      <c r="K127" s="17"/>
      <c r="L127" s="17"/>
    </row>
    <row r="128" spans="3:12" ht="25.5">
      <c r="C128" s="87" t="s">
        <v>136</v>
      </c>
      <c r="D128" s="134" t="s">
        <v>137</v>
      </c>
      <c r="E128" s="134" t="s">
        <v>138</v>
      </c>
      <c r="F128" s="197" t="s">
        <v>139</v>
      </c>
      <c r="G128" s="134" t="s">
        <v>140</v>
      </c>
      <c r="H128" s="134" t="s">
        <v>141</v>
      </c>
      <c r="I128" s="134" t="s">
        <v>142</v>
      </c>
      <c r="J128" s="134" t="s">
        <v>143</v>
      </c>
      <c r="K128" s="134" t="s">
        <v>144</v>
      </c>
      <c r="L128" s="134" t="s">
        <v>145</v>
      </c>
    </row>
    <row r="129" spans="3:12">
      <c r="C129" s="2" t="s">
        <v>19</v>
      </c>
      <c r="D129" s="59">
        <v>6.0484253254080604</v>
      </c>
      <c r="E129" s="60">
        <v>907.26379881120909</v>
      </c>
      <c r="F129" s="2">
        <v>150</v>
      </c>
      <c r="G129" s="59">
        <v>1.3</v>
      </c>
      <c r="H129" s="59">
        <v>1</v>
      </c>
      <c r="I129" s="59">
        <v>1</v>
      </c>
      <c r="J129" s="59">
        <v>1</v>
      </c>
      <c r="K129" s="59">
        <v>1</v>
      </c>
      <c r="L129" s="59">
        <v>10</v>
      </c>
    </row>
    <row r="130" spans="3:12">
      <c r="C130" s="243">
        <v>5</v>
      </c>
      <c r="D130" s="244">
        <v>7.2581103904896729</v>
      </c>
      <c r="E130" s="245">
        <v>907.26379881120909</v>
      </c>
      <c r="F130" s="243">
        <v>125</v>
      </c>
      <c r="G130" s="244">
        <v>1.3</v>
      </c>
      <c r="H130" s="244">
        <v>1</v>
      </c>
      <c r="I130" s="244">
        <v>1</v>
      </c>
      <c r="J130" s="244">
        <v>1</v>
      </c>
      <c r="K130" s="244">
        <v>1</v>
      </c>
      <c r="L130" s="244">
        <v>10</v>
      </c>
    </row>
    <row r="131" spans="3:12">
      <c r="C131" s="243">
        <v>4</v>
      </c>
      <c r="D131" s="244">
        <v>12.096850650816121</v>
      </c>
      <c r="E131" s="245">
        <v>907.26379881120909</v>
      </c>
      <c r="F131" s="243">
        <v>75</v>
      </c>
      <c r="G131" s="244">
        <v>1.3</v>
      </c>
      <c r="H131" s="244">
        <v>1</v>
      </c>
      <c r="I131" s="244">
        <v>1</v>
      </c>
      <c r="J131" s="244">
        <v>1</v>
      </c>
      <c r="K131" s="244">
        <v>1</v>
      </c>
      <c r="L131" s="244">
        <v>10</v>
      </c>
    </row>
    <row r="132" spans="3:12">
      <c r="C132" s="243">
        <v>3</v>
      </c>
      <c r="D132" s="244">
        <v>18.14527597622418</v>
      </c>
      <c r="E132" s="245">
        <v>907.26379881120909</v>
      </c>
      <c r="F132" s="243">
        <v>50</v>
      </c>
      <c r="G132" s="244">
        <v>1.3</v>
      </c>
      <c r="H132" s="244">
        <v>1</v>
      </c>
      <c r="I132" s="244">
        <v>1</v>
      </c>
      <c r="J132" s="244">
        <v>1</v>
      </c>
      <c r="K132" s="244">
        <v>1</v>
      </c>
      <c r="L132" s="244">
        <v>10</v>
      </c>
    </row>
    <row r="133" spans="3:12">
      <c r="C133" s="243">
        <v>2</v>
      </c>
      <c r="D133" s="244">
        <v>18.14527597622418</v>
      </c>
      <c r="E133" s="245">
        <v>907.26379881120909</v>
      </c>
      <c r="F133" s="243">
        <v>50</v>
      </c>
      <c r="G133" s="244">
        <v>1.3</v>
      </c>
      <c r="H133" s="244">
        <v>1</v>
      </c>
      <c r="I133" s="244">
        <v>1</v>
      </c>
      <c r="J133" s="244">
        <v>1</v>
      </c>
      <c r="K133" s="244">
        <v>1</v>
      </c>
      <c r="L133" s="244">
        <v>10</v>
      </c>
    </row>
    <row r="134" spans="3:12">
      <c r="C134" s="23">
        <v>1</v>
      </c>
      <c r="D134" s="35">
        <v>18.14527597622418</v>
      </c>
      <c r="E134" s="36">
        <v>907.26379881120909</v>
      </c>
      <c r="F134" s="23">
        <v>50</v>
      </c>
      <c r="G134" s="35">
        <v>1.3</v>
      </c>
      <c r="H134" s="35">
        <v>1</v>
      </c>
      <c r="I134" s="35">
        <v>1</v>
      </c>
      <c r="J134" s="35">
        <v>1</v>
      </c>
      <c r="K134" s="35">
        <v>1</v>
      </c>
      <c r="L134" s="35">
        <v>10</v>
      </c>
    </row>
    <row r="135" spans="3:12">
      <c r="C135" s="17"/>
      <c r="D135" s="17"/>
      <c r="E135" s="17"/>
      <c r="F135" s="17"/>
      <c r="G135" s="17"/>
      <c r="H135" s="17"/>
      <c r="I135" s="17"/>
      <c r="J135" s="17"/>
      <c r="K135" s="17"/>
      <c r="L135" s="17"/>
    </row>
    <row r="136" spans="3:12">
      <c r="C136" s="17"/>
      <c r="D136" s="17"/>
      <c r="E136" s="17"/>
      <c r="F136" s="17"/>
      <c r="G136" s="17"/>
      <c r="H136" s="17"/>
      <c r="I136" s="17"/>
      <c r="J136" s="17"/>
      <c r="K136" s="17"/>
      <c r="L136" s="17"/>
    </row>
    <row r="137" spans="3:12">
      <c r="C137" s="17"/>
      <c r="D137" s="17"/>
      <c r="E137" s="17"/>
      <c r="F137" s="17"/>
      <c r="G137" s="17"/>
      <c r="H137" s="17"/>
      <c r="I137" s="17"/>
      <c r="J137" s="17"/>
      <c r="K137" s="17"/>
      <c r="L137" s="17"/>
    </row>
    <row r="138" spans="3:12">
      <c r="C138" s="17" t="s">
        <v>146</v>
      </c>
      <c r="D138" s="17"/>
      <c r="E138" s="17"/>
      <c r="F138" s="17"/>
      <c r="G138" s="17"/>
      <c r="H138" s="17"/>
      <c r="I138" s="17"/>
      <c r="J138" s="17"/>
      <c r="K138" s="17"/>
      <c r="L138" s="17"/>
    </row>
    <row r="139" spans="3:12">
      <c r="C139" s="17"/>
      <c r="D139" s="17"/>
      <c r="E139" s="17"/>
      <c r="F139" s="17"/>
      <c r="G139" s="17"/>
      <c r="H139" s="17"/>
      <c r="I139" s="17"/>
      <c r="J139" s="17"/>
      <c r="K139" s="17"/>
      <c r="L139" s="17"/>
    </row>
    <row r="140" spans="3:12" ht="15.75">
      <c r="C140" s="17"/>
      <c r="D140" s="17"/>
      <c r="E140" s="17" t="s">
        <v>147</v>
      </c>
      <c r="F140" s="17"/>
      <c r="G140" s="17"/>
      <c r="H140" s="17"/>
      <c r="I140" s="17"/>
      <c r="J140" s="17"/>
      <c r="K140" s="17"/>
      <c r="L140" s="17"/>
    </row>
    <row r="141" spans="3:12">
      <c r="C141" s="17"/>
      <c r="D141" s="17"/>
      <c r="E141" s="17"/>
      <c r="F141" s="17"/>
      <c r="G141" s="17"/>
      <c r="H141" s="17"/>
      <c r="I141" s="17"/>
      <c r="J141" s="17"/>
      <c r="K141" s="17"/>
      <c r="L141" s="17"/>
    </row>
    <row r="142" spans="3:12" ht="15.75">
      <c r="C142" s="17" t="s">
        <v>148</v>
      </c>
      <c r="D142" s="20" t="s">
        <v>116</v>
      </c>
      <c r="E142" s="17" t="s">
        <v>149</v>
      </c>
      <c r="F142" s="17"/>
      <c r="G142" s="17"/>
      <c r="H142" s="17"/>
      <c r="I142" s="17"/>
      <c r="J142" s="17"/>
      <c r="K142" s="17"/>
      <c r="L142" s="17"/>
    </row>
    <row r="143" spans="3:12" ht="15.75">
      <c r="C143" s="17" t="s">
        <v>150</v>
      </c>
      <c r="D143" s="20" t="s">
        <v>116</v>
      </c>
      <c r="E143" s="17" t="s">
        <v>151</v>
      </c>
      <c r="F143" s="17"/>
      <c r="G143" s="17"/>
      <c r="H143" s="17"/>
      <c r="I143" s="17"/>
      <c r="J143" s="17"/>
      <c r="K143" s="17"/>
      <c r="L143" s="17"/>
    </row>
    <row r="144" spans="3:12">
      <c r="C144" s="17" t="s">
        <v>152</v>
      </c>
      <c r="D144" s="20" t="s">
        <v>116</v>
      </c>
      <c r="E144" s="17" t="s">
        <v>153</v>
      </c>
      <c r="F144" s="17"/>
      <c r="G144" s="17"/>
      <c r="H144" s="17"/>
      <c r="I144" s="17"/>
      <c r="J144" s="17"/>
      <c r="K144" s="17"/>
      <c r="L144" s="17"/>
    </row>
    <row r="145" spans="3:23" ht="15.75">
      <c r="C145" s="17" t="s">
        <v>154</v>
      </c>
      <c r="D145" s="20" t="s">
        <v>116</v>
      </c>
      <c r="E145" s="17" t="s">
        <v>155</v>
      </c>
      <c r="F145" s="17"/>
      <c r="G145" s="17"/>
      <c r="H145" s="17"/>
      <c r="I145" s="17"/>
      <c r="J145" s="17"/>
      <c r="K145" s="17"/>
      <c r="L145" s="17"/>
    </row>
    <row r="146" spans="3:23">
      <c r="C146" s="17" t="s">
        <v>156</v>
      </c>
      <c r="D146" s="20" t="s">
        <v>116</v>
      </c>
      <c r="E146" s="17" t="s">
        <v>157</v>
      </c>
      <c r="F146" s="17"/>
      <c r="G146" s="17"/>
      <c r="H146" s="17"/>
      <c r="I146" s="17"/>
      <c r="J146" s="17"/>
      <c r="K146" s="17"/>
      <c r="L146" s="17"/>
    </row>
    <row r="147" spans="3:23" ht="15.75">
      <c r="C147" s="17" t="s">
        <v>158</v>
      </c>
      <c r="D147" s="20" t="s">
        <v>116</v>
      </c>
      <c r="E147" s="17" t="s">
        <v>159</v>
      </c>
      <c r="F147" s="20"/>
      <c r="G147" s="17"/>
      <c r="H147" s="17"/>
      <c r="I147" s="17"/>
      <c r="J147" s="17"/>
      <c r="K147" s="17"/>
      <c r="L147" s="17"/>
    </row>
    <row r="148" spans="3:23">
      <c r="C148" s="17"/>
      <c r="D148" s="17"/>
      <c r="E148" s="17"/>
      <c r="F148" s="17"/>
      <c r="G148" s="17"/>
      <c r="H148" s="17"/>
      <c r="I148" s="17"/>
      <c r="J148" s="17"/>
      <c r="K148" s="17"/>
      <c r="L148" s="17"/>
    </row>
    <row r="149" spans="3:23">
      <c r="C149" s="17"/>
      <c r="D149" s="17"/>
      <c r="E149" s="17"/>
      <c r="F149" s="17"/>
      <c r="G149" s="17"/>
      <c r="H149" s="17"/>
      <c r="I149" s="17"/>
      <c r="J149" s="17"/>
      <c r="K149" s="17"/>
      <c r="L149" s="17"/>
    </row>
    <row r="150" spans="3:23" ht="27">
      <c r="C150" s="198" t="s">
        <v>136</v>
      </c>
      <c r="D150" s="87" t="s">
        <v>160</v>
      </c>
      <c r="E150" s="134" t="s">
        <v>161</v>
      </c>
      <c r="F150" s="197" t="s">
        <v>162</v>
      </c>
      <c r="G150" s="134" t="s">
        <v>163</v>
      </c>
      <c r="H150" s="134" t="s">
        <v>145</v>
      </c>
      <c r="I150" s="199" t="s">
        <v>164</v>
      </c>
      <c r="J150" s="199" t="s">
        <v>165</v>
      </c>
      <c r="K150" s="134" t="s">
        <v>166</v>
      </c>
      <c r="L150" s="25"/>
    </row>
    <row r="151" spans="3:23">
      <c r="C151" s="2" t="s">
        <v>19</v>
      </c>
      <c r="D151" s="59">
        <v>22.288906597820393</v>
      </c>
      <c r="E151" s="2">
        <v>1.1499999999999999</v>
      </c>
      <c r="F151" s="60">
        <v>1</v>
      </c>
      <c r="G151" s="60">
        <v>1</v>
      </c>
      <c r="H151" s="59">
        <v>10</v>
      </c>
      <c r="I151" s="59">
        <v>1.6659995996262555</v>
      </c>
      <c r="J151" s="59">
        <v>0.20282899481977704</v>
      </c>
      <c r="K151" s="102">
        <v>1.1298749190873731</v>
      </c>
      <c r="L151" s="20"/>
    </row>
    <row r="152" spans="3:23">
      <c r="C152" s="243">
        <v>5</v>
      </c>
      <c r="D152" s="244">
        <v>22.288906597820393</v>
      </c>
      <c r="E152" s="243">
        <v>1.1499999999999999</v>
      </c>
      <c r="F152" s="245">
        <v>1</v>
      </c>
      <c r="G152" s="245">
        <v>1</v>
      </c>
      <c r="H152" s="244">
        <v>10</v>
      </c>
      <c r="I152" s="244">
        <v>1.6659995996262555</v>
      </c>
      <c r="J152" s="244">
        <v>0.20282899481977704</v>
      </c>
      <c r="K152" s="246">
        <v>1.1298749190873731</v>
      </c>
      <c r="L152" s="20"/>
    </row>
    <row r="153" spans="3:23">
      <c r="C153" s="243">
        <v>4</v>
      </c>
      <c r="D153" s="244">
        <v>22.288906597820393</v>
      </c>
      <c r="E153" s="243">
        <v>1.1499999999999999</v>
      </c>
      <c r="F153" s="245">
        <v>1</v>
      </c>
      <c r="G153" s="245">
        <v>1</v>
      </c>
      <c r="H153" s="244">
        <v>10</v>
      </c>
      <c r="I153" s="244">
        <v>1.6659995996262555</v>
      </c>
      <c r="J153" s="244">
        <v>0.20282899481977704</v>
      </c>
      <c r="K153" s="246">
        <v>1.1298749190873731</v>
      </c>
      <c r="L153" s="20"/>
    </row>
    <row r="154" spans="3:23">
      <c r="C154" s="243">
        <v>3</v>
      </c>
      <c r="D154" s="244">
        <v>22.288906597820393</v>
      </c>
      <c r="E154" s="243">
        <v>1.1499999999999999</v>
      </c>
      <c r="F154" s="245">
        <v>1</v>
      </c>
      <c r="G154" s="245">
        <v>1</v>
      </c>
      <c r="H154" s="244">
        <v>10</v>
      </c>
      <c r="I154" s="244">
        <v>1.6659995996262555</v>
      </c>
      <c r="J154" s="244">
        <v>0.20282899481977704</v>
      </c>
      <c r="K154" s="246">
        <v>1.1298749190873731</v>
      </c>
      <c r="L154" s="20"/>
    </row>
    <row r="155" spans="3:23">
      <c r="C155" s="243">
        <v>2</v>
      </c>
      <c r="D155" s="244">
        <v>22.288906597820393</v>
      </c>
      <c r="E155" s="243">
        <v>1.1499999999999999</v>
      </c>
      <c r="F155" s="245">
        <v>1</v>
      </c>
      <c r="G155" s="245">
        <v>1</v>
      </c>
      <c r="H155" s="244">
        <v>10</v>
      </c>
      <c r="I155" s="244">
        <v>1.6659995996262555</v>
      </c>
      <c r="J155" s="244">
        <v>0.20282899481977704</v>
      </c>
      <c r="K155" s="246">
        <v>1.1298749190873731</v>
      </c>
      <c r="L155" s="20"/>
    </row>
    <row r="156" spans="3:23">
      <c r="C156" s="23">
        <v>1</v>
      </c>
      <c r="D156" s="35">
        <v>22.288906597820393</v>
      </c>
      <c r="E156" s="23">
        <v>1.1499999999999999</v>
      </c>
      <c r="F156" s="36">
        <v>1</v>
      </c>
      <c r="G156" s="36">
        <v>1</v>
      </c>
      <c r="H156" s="35">
        <v>10</v>
      </c>
      <c r="I156" s="35">
        <v>1.6659995996262555</v>
      </c>
      <c r="J156" s="35">
        <v>0.20282899481977704</v>
      </c>
      <c r="K156" s="37">
        <v>1.1298749190873731</v>
      </c>
      <c r="L156" s="20"/>
    </row>
    <row r="160" spans="3:23">
      <c r="C160" s="22" t="s">
        <v>167</v>
      </c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</row>
    <row r="161" spans="3:23"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</row>
    <row r="162" spans="3:23"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</row>
    <row r="163" spans="3:23"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</row>
    <row r="164" spans="3:23"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</row>
    <row r="165" spans="3:23"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</row>
    <row r="166" spans="3:23" ht="15.75">
      <c r="C166" s="17" t="s">
        <v>168</v>
      </c>
      <c r="D166" s="20" t="s">
        <v>116</v>
      </c>
      <c r="E166" s="17" t="s">
        <v>169</v>
      </c>
      <c r="F166" s="17"/>
      <c r="G166" s="17"/>
      <c r="H166" s="17"/>
      <c r="I166" s="17"/>
      <c r="J166" s="20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</row>
    <row r="167" spans="3:23" ht="15.75">
      <c r="C167" s="17" t="s">
        <v>170</v>
      </c>
      <c r="D167" s="20" t="s">
        <v>116</v>
      </c>
      <c r="E167" s="17" t="s">
        <v>171</v>
      </c>
      <c r="F167" s="17"/>
      <c r="G167" s="17"/>
      <c r="H167" s="17"/>
      <c r="I167" s="17"/>
      <c r="J167" s="20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</row>
    <row r="168" spans="3:23" ht="15.75">
      <c r="C168" s="17" t="s">
        <v>172</v>
      </c>
      <c r="D168" s="20" t="s">
        <v>116</v>
      </c>
      <c r="E168" s="17" t="s">
        <v>173</v>
      </c>
      <c r="F168" s="17"/>
      <c r="G168" s="17"/>
      <c r="H168" s="17"/>
      <c r="I168" s="17"/>
      <c r="J168" s="20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</row>
    <row r="169" spans="3:23" ht="15.75">
      <c r="C169" s="17" t="s">
        <v>174</v>
      </c>
      <c r="D169" s="20" t="s">
        <v>116</v>
      </c>
      <c r="E169" s="17" t="s">
        <v>175</v>
      </c>
      <c r="F169" s="17"/>
      <c r="G169" s="17"/>
      <c r="H169" s="17"/>
      <c r="I169" s="17"/>
      <c r="J169" s="20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</row>
    <row r="170" spans="3:23" ht="15.75">
      <c r="C170" s="17" t="s">
        <v>176</v>
      </c>
      <c r="D170" s="20" t="s">
        <v>116</v>
      </c>
      <c r="E170" s="17" t="s">
        <v>177</v>
      </c>
      <c r="F170" s="17"/>
      <c r="G170" s="17"/>
      <c r="H170" s="17"/>
      <c r="I170" s="17"/>
      <c r="J170" s="20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</row>
    <row r="171" spans="3:23" ht="15.75">
      <c r="C171" s="17" t="s">
        <v>178</v>
      </c>
      <c r="D171" s="20" t="s">
        <v>116</v>
      </c>
      <c r="E171" s="17" t="s">
        <v>179</v>
      </c>
      <c r="F171" s="17"/>
      <c r="G171" s="17"/>
      <c r="H171" s="17"/>
      <c r="I171" s="17"/>
      <c r="J171" s="20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</row>
    <row r="172" spans="3:23"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</row>
    <row r="173" spans="3:23"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</row>
    <row r="174" spans="3:23"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</row>
    <row r="175" spans="3:23"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</row>
    <row r="176" spans="3:23" ht="15">
      <c r="C176" s="22" t="s">
        <v>136</v>
      </c>
      <c r="D176" s="200" t="s">
        <v>81</v>
      </c>
      <c r="E176" s="200" t="s">
        <v>83</v>
      </c>
      <c r="F176" s="134" t="s">
        <v>180</v>
      </c>
      <c r="G176" s="200" t="s">
        <v>89</v>
      </c>
      <c r="H176" s="200" t="s">
        <v>181</v>
      </c>
      <c r="I176" s="134" t="s">
        <v>93</v>
      </c>
      <c r="J176" s="25"/>
      <c r="K176" s="25"/>
      <c r="L176" s="25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</row>
    <row r="177" spans="3:23">
      <c r="C177" s="2" t="s">
        <v>19</v>
      </c>
      <c r="D177" s="102">
        <v>1.9919436684934608E-2</v>
      </c>
      <c r="E177" s="102">
        <v>1.2924637681159421</v>
      </c>
      <c r="F177" s="102">
        <v>1.2283601132964359</v>
      </c>
      <c r="G177" s="102">
        <v>4.5913429316247145E-2</v>
      </c>
      <c r="H177" s="102">
        <v>2.1325738027049028</v>
      </c>
      <c r="I177" s="60">
        <v>4.7192305501184624</v>
      </c>
      <c r="J177" s="66"/>
      <c r="K177" s="20"/>
      <c r="L177" s="20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</row>
    <row r="178" spans="3:23">
      <c r="C178" s="243">
        <v>5</v>
      </c>
      <c r="D178" s="246">
        <v>5.2135253922597949E-2</v>
      </c>
      <c r="E178" s="246">
        <v>1.9478260869565218</v>
      </c>
      <c r="F178" s="246">
        <v>2.0766865820734335</v>
      </c>
      <c r="G178" s="246">
        <v>8.2794025006865002E-2</v>
      </c>
      <c r="H178" s="246">
        <v>1.918862944243735</v>
      </c>
      <c r="I178" s="245">
        <v>6.0783048922031533</v>
      </c>
      <c r="J178" s="66"/>
      <c r="K178" s="20"/>
      <c r="L178" s="20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</row>
    <row r="179" spans="3:23">
      <c r="C179" s="243">
        <v>4</v>
      </c>
      <c r="D179" s="246">
        <v>8.5975206126894632E-2</v>
      </c>
      <c r="E179" s="246">
        <v>2.689855072463768</v>
      </c>
      <c r="F179" s="246">
        <v>1.4257089106316387</v>
      </c>
      <c r="G179" s="246">
        <v>0.11376302086694999</v>
      </c>
      <c r="H179" s="246">
        <v>1.7448628446377443</v>
      </c>
      <c r="I179" s="245">
        <v>6.060165054726995</v>
      </c>
      <c r="J179" s="66"/>
      <c r="K179" s="20"/>
      <c r="L179" s="20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</row>
    <row r="180" spans="3:23">
      <c r="C180" s="243">
        <v>3</v>
      </c>
      <c r="D180" s="246">
        <v>0.12742883856631942</v>
      </c>
      <c r="E180" s="246">
        <v>3.3855072463768114</v>
      </c>
      <c r="F180" s="246">
        <v>1.0037789384008462</v>
      </c>
      <c r="G180" s="246">
        <v>0.13231072424713961</v>
      </c>
      <c r="H180" s="246">
        <v>1.4744641112666561</v>
      </c>
      <c r="I180" s="245">
        <v>6.1234898588577735</v>
      </c>
      <c r="J180" s="66"/>
      <c r="K180" s="20"/>
      <c r="L180" s="20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</row>
    <row r="181" spans="3:23">
      <c r="C181" s="243">
        <v>2</v>
      </c>
      <c r="D181" s="246">
        <v>0.17734229717732533</v>
      </c>
      <c r="E181" s="246">
        <v>4.1739130434782608</v>
      </c>
      <c r="F181" s="246">
        <v>1.5257289174417064</v>
      </c>
      <c r="G181" s="246">
        <v>0.15322890142922524</v>
      </c>
      <c r="H181" s="246">
        <v>1.1048602783098171</v>
      </c>
      <c r="I181" s="245">
        <v>7.1350734378363354</v>
      </c>
      <c r="J181" s="66"/>
      <c r="K181" s="20"/>
      <c r="L181" s="20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</row>
    <row r="182" spans="3:23">
      <c r="C182" s="23">
        <v>1</v>
      </c>
      <c r="D182" s="37">
        <v>0.23265793352885322</v>
      </c>
      <c r="E182" s="37">
        <v>4.5913043478260871</v>
      </c>
      <c r="F182" s="37">
        <v>1.8461319901044646</v>
      </c>
      <c r="G182" s="37">
        <v>0.17353944850997061</v>
      </c>
      <c r="H182" s="37">
        <v>0.61734121043392087</v>
      </c>
      <c r="I182" s="36">
        <v>7.460974930403296</v>
      </c>
      <c r="J182" s="66"/>
      <c r="K182" s="20"/>
      <c r="L182" s="20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</row>
    <row r="183" spans="3:23">
      <c r="C183" s="17"/>
      <c r="D183" s="17"/>
      <c r="E183" s="17"/>
      <c r="F183" s="17"/>
      <c r="G183" s="17"/>
      <c r="H183" s="17"/>
      <c r="I183" s="17"/>
      <c r="J183" s="66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</row>
    <row r="184" spans="3:23"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</row>
    <row r="185" spans="3:23">
      <c r="C185" s="18" t="s">
        <v>182</v>
      </c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</row>
    <row r="186" spans="3:23"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</row>
    <row r="187" spans="3:23" ht="15.75">
      <c r="C187" s="17" t="s">
        <v>183</v>
      </c>
      <c r="D187" s="20" t="s">
        <v>116</v>
      </c>
      <c r="E187" s="17" t="s">
        <v>184</v>
      </c>
      <c r="F187" s="17"/>
      <c r="G187" s="17"/>
      <c r="H187" s="17"/>
      <c r="I187" s="17"/>
      <c r="J187" s="20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</row>
    <row r="188" spans="3:23" ht="15.75">
      <c r="C188" s="17" t="s">
        <v>185</v>
      </c>
      <c r="D188" s="20" t="s">
        <v>116</v>
      </c>
      <c r="E188" s="17" t="s">
        <v>186</v>
      </c>
      <c r="F188" s="17"/>
      <c r="G188" s="17"/>
      <c r="H188" s="17"/>
      <c r="I188" s="17"/>
      <c r="J188" s="20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</row>
    <row r="189" spans="3:23" ht="15.75">
      <c r="C189" s="17" t="s">
        <v>187</v>
      </c>
      <c r="D189" s="20" t="s">
        <v>116</v>
      </c>
      <c r="E189" s="17" t="s">
        <v>188</v>
      </c>
      <c r="F189" s="17"/>
      <c r="G189" s="17"/>
      <c r="H189" s="17"/>
      <c r="I189" s="17"/>
      <c r="J189" s="20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</row>
    <row r="190" spans="3:23" ht="15.75">
      <c r="C190" s="17" t="s">
        <v>189</v>
      </c>
      <c r="D190" s="20" t="s">
        <v>116</v>
      </c>
      <c r="E190" s="17" t="s">
        <v>190</v>
      </c>
      <c r="F190" s="17"/>
      <c r="G190" s="17"/>
      <c r="H190" s="17"/>
      <c r="I190" s="17"/>
      <c r="J190" s="20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</row>
    <row r="191" spans="3:23">
      <c r="C191" s="17" t="s">
        <v>191</v>
      </c>
      <c r="D191" s="20" t="s">
        <v>116</v>
      </c>
      <c r="E191" s="17" t="s">
        <v>192</v>
      </c>
      <c r="F191" s="17"/>
      <c r="G191" s="17"/>
      <c r="H191" s="17"/>
      <c r="I191" s="17"/>
      <c r="J191" s="20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</row>
    <row r="192" spans="3:23" ht="15.75">
      <c r="C192" s="17" t="s">
        <v>168</v>
      </c>
      <c r="D192" s="20" t="s">
        <v>116</v>
      </c>
      <c r="E192" s="17" t="s">
        <v>169</v>
      </c>
      <c r="F192" s="17"/>
      <c r="G192" s="17"/>
      <c r="H192" s="17"/>
      <c r="I192" s="17"/>
      <c r="J192" s="20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</row>
    <row r="193" spans="3:23"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</row>
    <row r="194" spans="3:23"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</row>
    <row r="195" spans="3:23" ht="15">
      <c r="C195" s="22" t="s">
        <v>136</v>
      </c>
      <c r="D195" s="200" t="s">
        <v>193</v>
      </c>
      <c r="E195" s="200" t="s">
        <v>194</v>
      </c>
      <c r="F195" s="134" t="s">
        <v>195</v>
      </c>
      <c r="G195" s="200" t="s">
        <v>196</v>
      </c>
      <c r="H195" s="200" t="s">
        <v>81</v>
      </c>
      <c r="I195" s="25"/>
      <c r="J195" s="25"/>
      <c r="K195" s="25"/>
      <c r="L195" s="25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</row>
    <row r="196" spans="3:23">
      <c r="C196" s="2" t="s">
        <v>19</v>
      </c>
      <c r="D196" s="2">
        <v>26000</v>
      </c>
      <c r="E196" s="2">
        <v>3430</v>
      </c>
      <c r="F196" s="61">
        <v>0</v>
      </c>
      <c r="G196" s="62">
        <v>1.7557286694315712E+16</v>
      </c>
      <c r="H196" s="59">
        <v>1.9919436684934608E-2</v>
      </c>
      <c r="I196" s="63"/>
      <c r="J196" s="20"/>
      <c r="K196" s="20"/>
      <c r="L196" s="20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</row>
    <row r="197" spans="3:23">
      <c r="C197" s="243">
        <v>5</v>
      </c>
      <c r="D197" s="243">
        <v>42000</v>
      </c>
      <c r="E197" s="243">
        <v>3200</v>
      </c>
      <c r="F197" s="247">
        <v>89180000</v>
      </c>
      <c r="G197" s="248">
        <v>1.7557286694315712E+16</v>
      </c>
      <c r="H197" s="244">
        <v>5.2135253922597949E-2</v>
      </c>
      <c r="I197" s="63"/>
      <c r="J197" s="20"/>
      <c r="K197" s="20"/>
      <c r="L197" s="20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</row>
    <row r="198" spans="3:23">
      <c r="C198" s="243">
        <v>4</v>
      </c>
      <c r="D198" s="243">
        <v>58000</v>
      </c>
      <c r="E198" s="243">
        <v>3200</v>
      </c>
      <c r="F198" s="247">
        <v>223580000</v>
      </c>
      <c r="G198" s="248">
        <v>2.0683221905185976E+16</v>
      </c>
      <c r="H198" s="244">
        <v>8.5975206126894632E-2</v>
      </c>
      <c r="I198" s="63"/>
      <c r="J198" s="20"/>
      <c r="K198" s="20"/>
      <c r="L198" s="20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</row>
    <row r="199" spans="3:23">
      <c r="C199" s="243">
        <v>3</v>
      </c>
      <c r="D199" s="243">
        <v>73000</v>
      </c>
      <c r="E199" s="243">
        <v>3200</v>
      </c>
      <c r="F199" s="247">
        <v>409180000</v>
      </c>
      <c r="G199" s="248">
        <v>2.2697815496147372E+16</v>
      </c>
      <c r="H199" s="244">
        <v>0.12742883856631942</v>
      </c>
      <c r="I199" s="63"/>
      <c r="J199" s="20"/>
      <c r="K199" s="20"/>
      <c r="L199" s="20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</row>
    <row r="200" spans="3:23">
      <c r="C200" s="243">
        <v>2</v>
      </c>
      <c r="D200" s="243">
        <v>90000</v>
      </c>
      <c r="E200" s="243">
        <v>3200</v>
      </c>
      <c r="F200" s="247">
        <v>642780000</v>
      </c>
      <c r="G200" s="248">
        <v>2.4100700554963128E+16</v>
      </c>
      <c r="H200" s="244">
        <v>0.17734229717732533</v>
      </c>
      <c r="I200" s="63"/>
      <c r="J200" s="20"/>
      <c r="K200" s="20"/>
      <c r="L200" s="20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</row>
    <row r="201" spans="3:23">
      <c r="C201" s="23">
        <v>1</v>
      </c>
      <c r="D201" s="23">
        <v>99000</v>
      </c>
      <c r="E201" s="23">
        <v>3200</v>
      </c>
      <c r="F201" s="55">
        <v>930780000</v>
      </c>
      <c r="G201" s="56">
        <v>2.5131047591269388E+16</v>
      </c>
      <c r="H201" s="35">
        <v>0.23265793352885322</v>
      </c>
      <c r="I201" s="63"/>
      <c r="J201" s="20"/>
      <c r="K201" s="20"/>
      <c r="L201" s="20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</row>
    <row r="202" spans="3:23"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</row>
    <row r="203" spans="3:23">
      <c r="C203" s="17"/>
      <c r="D203" s="20"/>
      <c r="E203" s="17"/>
      <c r="F203" s="17"/>
      <c r="G203" s="17"/>
      <c r="H203" s="17"/>
      <c r="I203" s="17"/>
      <c r="J203" s="20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</row>
    <row r="204" spans="3:23" ht="25.5">
      <c r="C204" s="87" t="s">
        <v>136</v>
      </c>
      <c r="D204" s="134" t="s">
        <v>197</v>
      </c>
      <c r="E204" s="134" t="s">
        <v>198</v>
      </c>
      <c r="F204" s="134" t="s">
        <v>199</v>
      </c>
      <c r="G204" s="134" t="s">
        <v>200</v>
      </c>
      <c r="H204" s="134" t="s">
        <v>201</v>
      </c>
      <c r="I204" s="134" t="s">
        <v>202</v>
      </c>
      <c r="J204" s="134" t="s">
        <v>203</v>
      </c>
      <c r="K204" s="134" t="s">
        <v>204</v>
      </c>
      <c r="L204" s="134" t="s">
        <v>205</v>
      </c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</row>
    <row r="205" spans="3:23">
      <c r="C205" s="2" t="s">
        <v>19</v>
      </c>
      <c r="D205" s="2">
        <v>9500</v>
      </c>
      <c r="E205" s="2">
        <v>200000</v>
      </c>
      <c r="F205" s="2">
        <v>42560</v>
      </c>
      <c r="G205" s="86">
        <v>1691.08</v>
      </c>
      <c r="H205" s="60">
        <v>21.05263157894737</v>
      </c>
      <c r="I205" s="86">
        <v>35601.68421052632</v>
      </c>
      <c r="J205" s="2">
        <v>9764</v>
      </c>
      <c r="K205" s="86">
        <v>5316.6182919077319</v>
      </c>
      <c r="L205" s="62">
        <v>1848135441506.917</v>
      </c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</row>
    <row r="206" spans="3:23">
      <c r="C206" s="243">
        <v>5</v>
      </c>
      <c r="D206" s="243">
        <v>9500</v>
      </c>
      <c r="E206" s="243">
        <v>200000</v>
      </c>
      <c r="F206" s="243">
        <v>42560</v>
      </c>
      <c r="G206" s="249">
        <v>1691.08</v>
      </c>
      <c r="H206" s="245">
        <v>21.05263157894737</v>
      </c>
      <c r="I206" s="249">
        <v>35601.68421052632</v>
      </c>
      <c r="J206" s="243">
        <v>9764</v>
      </c>
      <c r="K206" s="249">
        <v>5316.6182919077319</v>
      </c>
      <c r="L206" s="248">
        <v>1848135441506.917</v>
      </c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</row>
    <row r="207" spans="3:23">
      <c r="C207" s="243">
        <v>4</v>
      </c>
      <c r="D207" s="243">
        <v>9500</v>
      </c>
      <c r="E207" s="243">
        <v>200000</v>
      </c>
      <c r="F207" s="243">
        <v>63840</v>
      </c>
      <c r="G207" s="249">
        <v>1691.08</v>
      </c>
      <c r="H207" s="245">
        <v>21.05263157894737</v>
      </c>
      <c r="I207" s="249">
        <v>35601.68421052632</v>
      </c>
      <c r="J207" s="243">
        <v>9760</v>
      </c>
      <c r="K207" s="249">
        <v>6265.7667651816028</v>
      </c>
      <c r="L207" s="248">
        <v>2177181253177.4712</v>
      </c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</row>
    <row r="208" spans="3:23">
      <c r="C208" s="243">
        <v>3</v>
      </c>
      <c r="D208" s="243">
        <v>9500</v>
      </c>
      <c r="E208" s="243">
        <v>200000</v>
      </c>
      <c r="F208" s="243">
        <v>85120</v>
      </c>
      <c r="G208" s="249">
        <v>1691.08</v>
      </c>
      <c r="H208" s="245">
        <v>21.05263157894737</v>
      </c>
      <c r="I208" s="249">
        <v>35601.68421052632</v>
      </c>
      <c r="J208" s="243">
        <v>9756</v>
      </c>
      <c r="K208" s="249">
        <v>6878.8861374052185</v>
      </c>
      <c r="L208" s="248">
        <v>2389243736436.5654</v>
      </c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</row>
    <row r="209" spans="3:23">
      <c r="C209" s="243">
        <v>2</v>
      </c>
      <c r="D209" s="243">
        <v>9500</v>
      </c>
      <c r="E209" s="243">
        <v>200000</v>
      </c>
      <c r="F209" s="243">
        <v>106400</v>
      </c>
      <c r="G209" s="249">
        <v>1691.08</v>
      </c>
      <c r="H209" s="245">
        <v>21.05263157894737</v>
      </c>
      <c r="I209" s="249">
        <v>35601.68421052632</v>
      </c>
      <c r="J209" s="243">
        <v>9752</v>
      </c>
      <c r="K209" s="249">
        <v>7307.0457281455519</v>
      </c>
      <c r="L209" s="248">
        <v>2536915847890.8555</v>
      </c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</row>
    <row r="210" spans="3:23">
      <c r="C210" s="23">
        <v>1</v>
      </c>
      <c r="D210" s="23">
        <v>9500</v>
      </c>
      <c r="E210" s="23">
        <v>200000</v>
      </c>
      <c r="F210" s="23">
        <v>127680</v>
      </c>
      <c r="G210" s="54">
        <v>1691.08</v>
      </c>
      <c r="H210" s="36">
        <v>21.05263157894737</v>
      </c>
      <c r="I210" s="54">
        <v>35601.68421052632</v>
      </c>
      <c r="J210" s="23">
        <v>9748</v>
      </c>
      <c r="K210" s="54">
        <v>7622.5612567497174</v>
      </c>
      <c r="L210" s="56">
        <v>2645373430659.9355</v>
      </c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</row>
    <row r="211" spans="3:23">
      <c r="C211" s="17"/>
      <c r="D211" s="20"/>
      <c r="E211" s="17"/>
      <c r="F211" s="17"/>
      <c r="G211" s="17"/>
      <c r="H211" s="17"/>
      <c r="I211" s="17"/>
      <c r="J211" s="20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</row>
    <row r="212" spans="3:23">
      <c r="C212" s="18" t="s">
        <v>206</v>
      </c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</row>
    <row r="213" spans="3:23"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</row>
    <row r="214" spans="3:23" ht="15.75">
      <c r="C214" s="17" t="s">
        <v>207</v>
      </c>
      <c r="D214" s="20" t="s">
        <v>116</v>
      </c>
      <c r="E214" s="17" t="s">
        <v>208</v>
      </c>
      <c r="F214" s="17"/>
      <c r="G214" s="17"/>
      <c r="H214" s="17"/>
      <c r="I214" s="17"/>
      <c r="J214" s="20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</row>
    <row r="215" spans="3:23" ht="15.75">
      <c r="C215" s="17" t="s">
        <v>209</v>
      </c>
      <c r="D215" s="20" t="s">
        <v>116</v>
      </c>
      <c r="E215" s="17" t="s">
        <v>210</v>
      </c>
      <c r="F215" s="17"/>
      <c r="G215" s="17"/>
      <c r="H215" s="17"/>
      <c r="I215" s="17"/>
      <c r="J215" s="20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</row>
    <row r="216" spans="3:23" ht="15.75">
      <c r="C216" s="17" t="s">
        <v>170</v>
      </c>
      <c r="D216" s="20" t="s">
        <v>116</v>
      </c>
      <c r="E216" s="17" t="s">
        <v>211</v>
      </c>
      <c r="F216" s="17"/>
      <c r="G216" s="17"/>
      <c r="H216" s="17"/>
      <c r="I216" s="17"/>
      <c r="J216" s="20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</row>
    <row r="217" spans="3:23"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</row>
    <row r="218" spans="3:23" ht="25.5">
      <c r="C218" s="198" t="s">
        <v>136</v>
      </c>
      <c r="D218" s="87" t="s">
        <v>193</v>
      </c>
      <c r="E218" s="87" t="s">
        <v>194</v>
      </c>
      <c r="F218" s="87" t="s">
        <v>212</v>
      </c>
      <c r="G218" s="87" t="s">
        <v>82</v>
      </c>
      <c r="H218" s="87" t="s">
        <v>83</v>
      </c>
      <c r="I218" s="25"/>
      <c r="J218" s="18"/>
      <c r="K218" s="18"/>
      <c r="L218" s="18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</row>
    <row r="219" spans="3:23">
      <c r="C219" s="2" t="s">
        <v>19</v>
      </c>
      <c r="D219" s="2">
        <v>26000</v>
      </c>
      <c r="E219" s="2">
        <v>3430</v>
      </c>
      <c r="F219" s="2">
        <v>10000</v>
      </c>
      <c r="G219" s="2">
        <v>6900</v>
      </c>
      <c r="H219" s="59">
        <v>1.2924637681159421</v>
      </c>
      <c r="I219" s="42"/>
      <c r="J219" s="65"/>
      <c r="K219" s="17"/>
      <c r="L219" s="20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</row>
    <row r="220" spans="3:23">
      <c r="C220" s="243">
        <v>5</v>
      </c>
      <c r="D220" s="243">
        <v>42000</v>
      </c>
      <c r="E220" s="243">
        <v>3200</v>
      </c>
      <c r="F220" s="243">
        <v>10000</v>
      </c>
      <c r="G220" s="243">
        <v>6900</v>
      </c>
      <c r="H220" s="244">
        <v>1.9478260869565218</v>
      </c>
      <c r="I220" s="42"/>
      <c r="J220" s="65"/>
      <c r="K220" s="17"/>
      <c r="L220" s="20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</row>
    <row r="221" spans="3:23">
      <c r="C221" s="243">
        <v>4</v>
      </c>
      <c r="D221" s="243">
        <v>58000</v>
      </c>
      <c r="E221" s="243">
        <v>3200</v>
      </c>
      <c r="F221" s="243">
        <v>10000</v>
      </c>
      <c r="G221" s="243">
        <v>6900</v>
      </c>
      <c r="H221" s="244">
        <v>2.689855072463768</v>
      </c>
      <c r="I221" s="42"/>
      <c r="J221" s="65"/>
      <c r="K221" s="17"/>
      <c r="L221" s="20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</row>
    <row r="222" spans="3:23">
      <c r="C222" s="243">
        <v>3</v>
      </c>
      <c r="D222" s="243">
        <v>73000</v>
      </c>
      <c r="E222" s="243">
        <v>3200</v>
      </c>
      <c r="F222" s="243">
        <v>10000</v>
      </c>
      <c r="G222" s="243">
        <v>6900</v>
      </c>
      <c r="H222" s="244">
        <v>3.3855072463768114</v>
      </c>
      <c r="I222" s="42"/>
      <c r="J222" s="65"/>
      <c r="K222" s="17"/>
      <c r="L222" s="20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</row>
    <row r="223" spans="3:23">
      <c r="C223" s="243">
        <v>2</v>
      </c>
      <c r="D223" s="243">
        <v>90000</v>
      </c>
      <c r="E223" s="243">
        <v>3200</v>
      </c>
      <c r="F223" s="243">
        <v>10000</v>
      </c>
      <c r="G223" s="243">
        <v>6900</v>
      </c>
      <c r="H223" s="244">
        <v>4.1739130434782608</v>
      </c>
      <c r="I223" s="42"/>
      <c r="J223" s="65"/>
      <c r="K223" s="17"/>
      <c r="L223" s="20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</row>
    <row r="224" spans="3:23">
      <c r="C224" s="23">
        <v>1</v>
      </c>
      <c r="D224" s="23">
        <v>99000</v>
      </c>
      <c r="E224" s="23">
        <v>3200</v>
      </c>
      <c r="F224" s="23">
        <v>10000</v>
      </c>
      <c r="G224" s="23">
        <v>6900</v>
      </c>
      <c r="H224" s="35">
        <v>4.5913043478260871</v>
      </c>
      <c r="I224" s="42"/>
      <c r="J224" s="65"/>
      <c r="K224" s="17"/>
      <c r="L224" s="20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</row>
    <row r="225" spans="3:23"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</row>
    <row r="226" spans="3:23"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</row>
    <row r="227" spans="3:23">
      <c r="C227" s="18" t="s">
        <v>213</v>
      </c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</row>
    <row r="228" spans="3:23"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</row>
    <row r="229" spans="3:23" ht="15.75">
      <c r="C229" s="17" t="s">
        <v>214</v>
      </c>
      <c r="D229" s="20" t="s">
        <v>116</v>
      </c>
      <c r="E229" s="17" t="s">
        <v>215</v>
      </c>
      <c r="F229" s="17"/>
      <c r="G229" s="17"/>
      <c r="H229" s="17"/>
      <c r="I229" s="17"/>
      <c r="J229" s="20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</row>
    <row r="230" spans="3:23" ht="15.75">
      <c r="C230" s="17" t="s">
        <v>172</v>
      </c>
      <c r="D230" s="20" t="s">
        <v>116</v>
      </c>
      <c r="E230" s="17" t="s">
        <v>173</v>
      </c>
      <c r="F230" s="17"/>
      <c r="G230" s="17"/>
      <c r="H230" s="17"/>
      <c r="I230" s="17"/>
      <c r="J230" s="20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</row>
    <row r="231" spans="3:23">
      <c r="C231" s="17"/>
      <c r="D231" s="20"/>
      <c r="E231" s="17"/>
      <c r="F231" s="17"/>
      <c r="G231" s="17"/>
      <c r="H231" s="17"/>
      <c r="I231" s="17"/>
      <c r="J231" s="20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</row>
    <row r="232" spans="3:23">
      <c r="C232" s="17"/>
      <c r="D232" s="20"/>
      <c r="E232" s="17"/>
      <c r="F232" s="17"/>
      <c r="G232" s="17"/>
      <c r="H232" s="17"/>
      <c r="I232" s="17"/>
      <c r="J232" s="20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</row>
    <row r="233" spans="3:23" ht="25.5">
      <c r="C233" s="87" t="s">
        <v>136</v>
      </c>
      <c r="D233" s="87" t="s">
        <v>216</v>
      </c>
      <c r="E233" s="87" t="s">
        <v>139</v>
      </c>
      <c r="F233" s="87" t="s">
        <v>217</v>
      </c>
      <c r="G233" s="87" t="s">
        <v>84</v>
      </c>
      <c r="H233" s="87" t="s">
        <v>218</v>
      </c>
      <c r="I233" s="87" t="s">
        <v>85</v>
      </c>
      <c r="J233" s="87" t="s">
        <v>83</v>
      </c>
      <c r="K233" s="25"/>
      <c r="L233" s="26"/>
      <c r="M233" s="25"/>
      <c r="N233" s="17"/>
      <c r="O233" s="17"/>
      <c r="P233" s="17"/>
      <c r="Q233" s="17"/>
      <c r="R233" s="17"/>
      <c r="S233" s="17"/>
      <c r="T233" s="17"/>
      <c r="U233" s="17"/>
      <c r="V233" s="17"/>
      <c r="W233" s="17"/>
    </row>
    <row r="234" spans="3:23">
      <c r="C234" s="2" t="s">
        <v>19</v>
      </c>
      <c r="D234" s="60">
        <v>2.6</v>
      </c>
      <c r="E234" s="2">
        <v>150</v>
      </c>
      <c r="F234" s="2">
        <v>10000</v>
      </c>
      <c r="G234" s="86">
        <v>390</v>
      </c>
      <c r="H234" s="59">
        <v>3.66</v>
      </c>
      <c r="I234" s="59">
        <v>0.14324899280424908</v>
      </c>
      <c r="J234" s="59">
        <v>1.2283601132964359</v>
      </c>
      <c r="K234" s="42"/>
      <c r="L234" s="65"/>
      <c r="M234" s="42"/>
      <c r="N234" s="17"/>
      <c r="O234" s="17"/>
      <c r="P234" s="17"/>
      <c r="Q234" s="17"/>
      <c r="R234" s="17"/>
      <c r="S234" s="17"/>
      <c r="T234" s="17"/>
      <c r="U234" s="17"/>
      <c r="V234" s="17"/>
      <c r="W234" s="17"/>
    </row>
    <row r="235" spans="3:23">
      <c r="C235" s="243">
        <v>5</v>
      </c>
      <c r="D235" s="245">
        <v>4.2</v>
      </c>
      <c r="E235" s="243">
        <v>125</v>
      </c>
      <c r="F235" s="243">
        <v>10000</v>
      </c>
      <c r="G235" s="249">
        <v>525</v>
      </c>
      <c r="H235" s="244">
        <v>3.66</v>
      </c>
      <c r="I235" s="244">
        <v>0.25958582275917919</v>
      </c>
      <c r="J235" s="244">
        <v>2.0766865820734335</v>
      </c>
      <c r="K235" s="42"/>
      <c r="L235" s="65"/>
      <c r="M235" s="42"/>
      <c r="N235" s="17"/>
      <c r="O235" s="17"/>
      <c r="P235" s="17"/>
      <c r="Q235" s="17"/>
      <c r="R235" s="17"/>
      <c r="S235" s="17"/>
      <c r="T235" s="17"/>
      <c r="U235" s="17"/>
      <c r="V235" s="17"/>
      <c r="W235" s="17"/>
    </row>
    <row r="236" spans="3:23">
      <c r="C236" s="243">
        <v>4</v>
      </c>
      <c r="D236" s="245">
        <v>5.8</v>
      </c>
      <c r="E236" s="243">
        <v>75</v>
      </c>
      <c r="F236" s="243">
        <v>10000</v>
      </c>
      <c r="G236" s="249">
        <v>435</v>
      </c>
      <c r="H236" s="244">
        <v>3.66</v>
      </c>
      <c r="I236" s="244">
        <v>0.17821361382895484</v>
      </c>
      <c r="J236" s="244">
        <v>1.4257089106316387</v>
      </c>
      <c r="K236" s="42"/>
      <c r="L236" s="65"/>
      <c r="M236" s="42"/>
      <c r="N236" s="17"/>
      <c r="O236" s="17"/>
      <c r="P236" s="17"/>
      <c r="Q236" s="17"/>
      <c r="R236" s="17"/>
      <c r="S236" s="17"/>
      <c r="T236" s="17"/>
      <c r="U236" s="17"/>
      <c r="V236" s="17"/>
      <c r="W236" s="17"/>
    </row>
    <row r="237" spans="3:23">
      <c r="C237" s="243">
        <v>3</v>
      </c>
      <c r="D237" s="245">
        <v>7.3</v>
      </c>
      <c r="E237" s="243">
        <v>50</v>
      </c>
      <c r="F237" s="243">
        <v>10000</v>
      </c>
      <c r="G237" s="249">
        <v>365</v>
      </c>
      <c r="H237" s="244">
        <v>3.66</v>
      </c>
      <c r="I237" s="244">
        <v>0.12547236730010577</v>
      </c>
      <c r="J237" s="244">
        <v>1.0037789384008462</v>
      </c>
      <c r="K237" s="42"/>
      <c r="L237" s="65"/>
      <c r="M237" s="42"/>
      <c r="N237" s="17"/>
      <c r="O237" s="17"/>
      <c r="P237" s="17"/>
      <c r="Q237" s="17"/>
      <c r="R237" s="17"/>
      <c r="S237" s="17"/>
      <c r="T237" s="17"/>
      <c r="U237" s="17"/>
      <c r="V237" s="17"/>
      <c r="W237" s="17"/>
    </row>
    <row r="238" spans="3:23">
      <c r="C238" s="243">
        <v>2</v>
      </c>
      <c r="D238" s="245">
        <v>9</v>
      </c>
      <c r="E238" s="243">
        <v>50</v>
      </c>
      <c r="F238" s="243">
        <v>10000</v>
      </c>
      <c r="G238" s="249">
        <v>450</v>
      </c>
      <c r="H238" s="244">
        <v>3.66</v>
      </c>
      <c r="I238" s="244">
        <v>0.19071611468021329</v>
      </c>
      <c r="J238" s="244">
        <v>1.5257289174417064</v>
      </c>
      <c r="K238" s="42"/>
      <c r="L238" s="65"/>
      <c r="M238" s="42"/>
      <c r="N238" s="17"/>
      <c r="O238" s="17"/>
      <c r="P238" s="17"/>
      <c r="Q238" s="17"/>
      <c r="R238" s="17"/>
      <c r="S238" s="17"/>
      <c r="T238" s="17"/>
      <c r="U238" s="17"/>
      <c r="V238" s="17"/>
      <c r="W238" s="17"/>
    </row>
    <row r="239" spans="3:23">
      <c r="C239" s="23">
        <v>1</v>
      </c>
      <c r="D239" s="36">
        <v>9.9</v>
      </c>
      <c r="E239" s="23">
        <v>50</v>
      </c>
      <c r="F239" s="23">
        <v>10000</v>
      </c>
      <c r="G239" s="54">
        <v>495</v>
      </c>
      <c r="H239" s="35">
        <v>3.66</v>
      </c>
      <c r="I239" s="35">
        <v>0.23076649876305808</v>
      </c>
      <c r="J239" s="35">
        <v>1.8461319901044646</v>
      </c>
      <c r="K239" s="42"/>
      <c r="L239" s="65"/>
      <c r="M239" s="42"/>
      <c r="N239" s="17"/>
      <c r="O239" s="17"/>
      <c r="P239" s="17"/>
      <c r="Q239" s="17"/>
      <c r="R239" s="17"/>
      <c r="S239" s="17"/>
      <c r="T239" s="17"/>
      <c r="U239" s="17"/>
      <c r="V239" s="17"/>
      <c r="W239" s="17"/>
    </row>
    <row r="240" spans="3:23"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</row>
    <row r="241" spans="3:23">
      <c r="C241" s="18" t="s">
        <v>219</v>
      </c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</row>
    <row r="242" spans="3:23"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</row>
    <row r="243" spans="3:23" ht="15.75">
      <c r="C243" s="17" t="s">
        <v>220</v>
      </c>
      <c r="D243" s="20" t="s">
        <v>116</v>
      </c>
      <c r="E243" s="17" t="s">
        <v>221</v>
      </c>
      <c r="F243" s="17"/>
      <c r="G243" s="17"/>
      <c r="H243" s="17"/>
      <c r="I243" s="17"/>
      <c r="J243" s="20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</row>
    <row r="244" spans="3:23">
      <c r="C244" s="17"/>
      <c r="D244" s="20"/>
      <c r="E244" s="17"/>
      <c r="F244" s="17"/>
      <c r="G244" s="17"/>
      <c r="H244" s="17"/>
      <c r="I244" s="17"/>
      <c r="J244" s="20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</row>
    <row r="245" spans="3:23" ht="27">
      <c r="C245" s="87" t="s">
        <v>136</v>
      </c>
      <c r="D245" s="87" t="s">
        <v>222</v>
      </c>
      <c r="E245" s="87" t="s">
        <v>223</v>
      </c>
      <c r="F245" s="87" t="s">
        <v>86</v>
      </c>
      <c r="G245" s="87" t="s">
        <v>87</v>
      </c>
      <c r="H245" s="87" t="s">
        <v>224</v>
      </c>
      <c r="I245" s="134" t="s">
        <v>225</v>
      </c>
      <c r="J245" s="134" t="s">
        <v>226</v>
      </c>
      <c r="K245" s="87" t="s">
        <v>227</v>
      </c>
      <c r="L245" s="87" t="s">
        <v>88</v>
      </c>
      <c r="M245" s="87" t="s">
        <v>89</v>
      </c>
      <c r="N245" s="25"/>
      <c r="O245" s="17"/>
      <c r="P245" s="17"/>
      <c r="Q245" s="17"/>
      <c r="R245" s="17"/>
      <c r="S245" s="17"/>
      <c r="T245" s="17"/>
      <c r="U245" s="17"/>
      <c r="V245" s="17"/>
      <c r="W245" s="17"/>
    </row>
    <row r="246" spans="3:23">
      <c r="C246" s="2" t="s">
        <v>19</v>
      </c>
      <c r="D246" s="86">
        <v>10.701600000000001</v>
      </c>
      <c r="E246" s="60">
        <v>483</v>
      </c>
      <c r="F246" s="2">
        <v>1.016</v>
      </c>
      <c r="G246" s="2">
        <v>5.0999999999999997E-2</v>
      </c>
      <c r="H246" s="86">
        <v>10.701600000000001</v>
      </c>
      <c r="I246" s="2">
        <v>475</v>
      </c>
      <c r="J246" s="2">
        <v>42560</v>
      </c>
      <c r="K246" s="2">
        <v>9764</v>
      </c>
      <c r="L246" s="59">
        <v>0.13385839450800915</v>
      </c>
      <c r="M246" s="59">
        <v>4.5913429316247145E-2</v>
      </c>
      <c r="N246" s="42"/>
      <c r="O246" s="17"/>
      <c r="P246" s="17"/>
      <c r="Q246" s="17"/>
      <c r="R246" s="17"/>
      <c r="S246" s="17"/>
      <c r="T246" s="17"/>
      <c r="U246" s="17"/>
      <c r="V246" s="17"/>
      <c r="W246" s="17"/>
    </row>
    <row r="247" spans="3:23">
      <c r="C247" s="243">
        <v>5</v>
      </c>
      <c r="D247" s="249">
        <v>26.829600000000003</v>
      </c>
      <c r="E247" s="245">
        <v>483</v>
      </c>
      <c r="F247" s="243">
        <v>1.016</v>
      </c>
      <c r="G247" s="243">
        <v>5.0999999999999997E-2</v>
      </c>
      <c r="H247" s="249">
        <v>26.829600000000003</v>
      </c>
      <c r="I247" s="243">
        <v>475</v>
      </c>
      <c r="J247" s="243">
        <v>42560</v>
      </c>
      <c r="K247" s="243">
        <v>9764</v>
      </c>
      <c r="L247" s="244">
        <v>0.25873132814645311</v>
      </c>
      <c r="M247" s="244">
        <v>8.2794025006865002E-2</v>
      </c>
      <c r="N247" s="42"/>
      <c r="O247" s="17"/>
      <c r="P247" s="17"/>
      <c r="Q247" s="17"/>
      <c r="R247" s="17"/>
      <c r="S247" s="17"/>
      <c r="T247" s="17"/>
      <c r="U247" s="17"/>
      <c r="V247" s="17"/>
      <c r="W247" s="17"/>
    </row>
    <row r="248" spans="3:23">
      <c r="C248" s="243">
        <v>4</v>
      </c>
      <c r="D248" s="249">
        <v>49.101599999999998</v>
      </c>
      <c r="E248" s="245">
        <v>483</v>
      </c>
      <c r="F248" s="243">
        <v>0.432</v>
      </c>
      <c r="G248" s="243">
        <v>0.127</v>
      </c>
      <c r="H248" s="249">
        <v>49.101599999999998</v>
      </c>
      <c r="I248" s="243">
        <v>475</v>
      </c>
      <c r="J248" s="243">
        <v>63840</v>
      </c>
      <c r="K248" s="243">
        <v>9760</v>
      </c>
      <c r="L248" s="244">
        <v>0.35550944020921871</v>
      </c>
      <c r="M248" s="244">
        <v>0.11376302086694999</v>
      </c>
      <c r="N248" s="42"/>
      <c r="O248" s="17"/>
      <c r="P248" s="17"/>
      <c r="Q248" s="17"/>
      <c r="R248" s="17"/>
      <c r="S248" s="17"/>
      <c r="T248" s="17"/>
      <c r="U248" s="17"/>
      <c r="V248" s="17"/>
      <c r="W248" s="17"/>
    </row>
    <row r="249" spans="3:23">
      <c r="C249" s="243">
        <v>3</v>
      </c>
      <c r="D249" s="249">
        <v>77.133600000000001</v>
      </c>
      <c r="E249" s="245">
        <v>483</v>
      </c>
      <c r="F249" s="243">
        <v>0.432</v>
      </c>
      <c r="G249" s="243">
        <v>0.127</v>
      </c>
      <c r="H249" s="249">
        <v>77.133600000000001</v>
      </c>
      <c r="I249" s="243">
        <v>475</v>
      </c>
      <c r="J249" s="243">
        <v>85120</v>
      </c>
      <c r="K249" s="243">
        <v>9756</v>
      </c>
      <c r="L249" s="244">
        <v>0.41347101327231123</v>
      </c>
      <c r="M249" s="244">
        <v>0.13231072424713961</v>
      </c>
      <c r="N249" s="42"/>
      <c r="O249" s="17"/>
      <c r="P249" s="17"/>
      <c r="Q249" s="17"/>
      <c r="R249" s="17"/>
      <c r="S249" s="17"/>
      <c r="T249" s="17"/>
      <c r="U249" s="17"/>
      <c r="V249" s="17"/>
      <c r="W249" s="17"/>
    </row>
    <row r="250" spans="3:23">
      <c r="C250" s="243">
        <v>2</v>
      </c>
      <c r="D250" s="249">
        <v>111.6936</v>
      </c>
      <c r="E250" s="245">
        <v>483</v>
      </c>
      <c r="F250" s="243">
        <v>0.432</v>
      </c>
      <c r="G250" s="243">
        <v>0.127</v>
      </c>
      <c r="H250" s="249">
        <v>111.6936</v>
      </c>
      <c r="I250" s="243">
        <v>475</v>
      </c>
      <c r="J250" s="243">
        <v>106400</v>
      </c>
      <c r="K250" s="243">
        <v>9752</v>
      </c>
      <c r="L250" s="244">
        <v>0.47884031696632889</v>
      </c>
      <c r="M250" s="244">
        <v>0.15322890142922524</v>
      </c>
      <c r="N250" s="42"/>
      <c r="O250" s="17"/>
      <c r="P250" s="17"/>
      <c r="Q250" s="17"/>
      <c r="R250" s="17"/>
      <c r="S250" s="17"/>
      <c r="T250" s="17"/>
      <c r="U250" s="17"/>
      <c r="V250" s="17"/>
      <c r="W250" s="17"/>
    </row>
    <row r="251" spans="3:23">
      <c r="C251" s="23">
        <v>1</v>
      </c>
      <c r="D251" s="54">
        <v>149.70959999999999</v>
      </c>
      <c r="E251" s="36">
        <v>483</v>
      </c>
      <c r="F251" s="23">
        <v>0.432</v>
      </c>
      <c r="G251" s="23">
        <v>0.127</v>
      </c>
      <c r="H251" s="54">
        <v>149.70959999999999</v>
      </c>
      <c r="I251" s="23">
        <v>475</v>
      </c>
      <c r="J251" s="23">
        <v>127680</v>
      </c>
      <c r="K251" s="23">
        <v>9748</v>
      </c>
      <c r="L251" s="35">
        <v>0.54231077659365812</v>
      </c>
      <c r="M251" s="35">
        <v>0.17353944850997061</v>
      </c>
      <c r="N251" s="42"/>
      <c r="O251" s="17"/>
      <c r="P251" s="17"/>
      <c r="Q251" s="17"/>
      <c r="R251" s="17"/>
      <c r="S251" s="17"/>
      <c r="T251" s="17"/>
      <c r="U251" s="17"/>
      <c r="V251" s="17"/>
      <c r="W251" s="17"/>
    </row>
    <row r="252" spans="3:23">
      <c r="C252" s="17"/>
      <c r="D252" s="20"/>
      <c r="E252" s="17"/>
      <c r="F252" s="17"/>
      <c r="G252" s="17"/>
      <c r="H252" s="17"/>
      <c r="I252" s="17"/>
      <c r="J252" s="20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</row>
    <row r="253" spans="3:23">
      <c r="C253" s="18" t="s">
        <v>228</v>
      </c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</row>
    <row r="254" spans="3:23"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</row>
    <row r="255" spans="3:23" ht="15.75">
      <c r="C255" s="17" t="s">
        <v>229</v>
      </c>
      <c r="D255" s="20" t="s">
        <v>116</v>
      </c>
      <c r="E255" s="17" t="s">
        <v>230</v>
      </c>
      <c r="F255" s="17"/>
      <c r="G255" s="17"/>
      <c r="H255" s="17"/>
      <c r="I255" s="17"/>
      <c r="J255" s="20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</row>
    <row r="256" spans="3:23" ht="15.75">
      <c r="C256" s="17" t="s">
        <v>231</v>
      </c>
      <c r="D256" s="20" t="s">
        <v>116</v>
      </c>
      <c r="E256" s="17" t="s">
        <v>232</v>
      </c>
      <c r="F256" s="17"/>
      <c r="G256" s="17"/>
      <c r="H256" s="17"/>
      <c r="I256" s="17"/>
      <c r="J256" s="20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</row>
    <row r="257" spans="3:23" ht="15.75">
      <c r="C257" s="17" t="s">
        <v>176</v>
      </c>
      <c r="D257" s="20" t="s">
        <v>116</v>
      </c>
      <c r="E257" s="17" t="s">
        <v>177</v>
      </c>
      <c r="F257" s="17"/>
      <c r="G257" s="17"/>
      <c r="H257" s="17"/>
      <c r="I257" s="17"/>
      <c r="J257" s="20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</row>
    <row r="258" spans="3:23"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</row>
    <row r="259" spans="3:23"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</row>
    <row r="260" spans="3:23"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</row>
    <row r="261" spans="3:23" ht="25.5">
      <c r="C261" s="87" t="s">
        <v>136</v>
      </c>
      <c r="D261" s="87" t="s">
        <v>233</v>
      </c>
      <c r="E261" s="87" t="s">
        <v>217</v>
      </c>
      <c r="F261" s="201" t="s">
        <v>234</v>
      </c>
      <c r="G261" s="201" t="s">
        <v>90</v>
      </c>
      <c r="H261" s="87" t="s">
        <v>88</v>
      </c>
      <c r="I261" s="87" t="s">
        <v>235</v>
      </c>
      <c r="J261" s="201" t="s">
        <v>91</v>
      </c>
      <c r="K261" s="201" t="s">
        <v>92</v>
      </c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</row>
    <row r="262" spans="3:23">
      <c r="C262" s="2" t="s">
        <v>19</v>
      </c>
      <c r="D262" s="2">
        <v>3430</v>
      </c>
      <c r="E262" s="2">
        <v>10000</v>
      </c>
      <c r="F262" s="103">
        <v>8.7111239146944354E-6</v>
      </c>
      <c r="G262" s="62">
        <v>4.0346950647206464E-4</v>
      </c>
      <c r="H262" s="59">
        <v>0.13385839450800915</v>
      </c>
      <c r="I262" s="62">
        <v>2.1827212696959794E-4</v>
      </c>
      <c r="J262" s="61">
        <v>4.5913429316247145E-2</v>
      </c>
      <c r="K262" s="60">
        <v>2.1325738027049028</v>
      </c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</row>
    <row r="263" spans="3:23">
      <c r="C263" s="243">
        <v>5</v>
      </c>
      <c r="D263" s="243">
        <v>3200</v>
      </c>
      <c r="E263" s="243">
        <v>10000</v>
      </c>
      <c r="F263" s="250">
        <v>2.8501898312226855E-5</v>
      </c>
      <c r="G263" s="248">
        <v>3.9475838255737021E-4</v>
      </c>
      <c r="H263" s="244">
        <v>0.25873132814645311</v>
      </c>
      <c r="I263" s="248">
        <v>2.0488628751879701E-4</v>
      </c>
      <c r="J263" s="247">
        <v>8.2794025006865002E-2</v>
      </c>
      <c r="K263" s="245">
        <v>1.918862944243735</v>
      </c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</row>
    <row r="264" spans="3:23">
      <c r="C264" s="243">
        <v>4</v>
      </c>
      <c r="D264" s="243">
        <v>3200</v>
      </c>
      <c r="E264" s="243">
        <v>10000</v>
      </c>
      <c r="F264" s="250">
        <v>4.8948660157543126E-5</v>
      </c>
      <c r="G264" s="248">
        <v>3.6625648424514336E-4</v>
      </c>
      <c r="H264" s="244">
        <v>0.35550944020921871</v>
      </c>
      <c r="I264" s="248">
        <v>1.790131547041517E-4</v>
      </c>
      <c r="J264" s="247">
        <v>0.11376302086694999</v>
      </c>
      <c r="K264" s="245">
        <v>1.7448628446377443</v>
      </c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</row>
    <row r="265" spans="3:23">
      <c r="C265" s="243">
        <v>3</v>
      </c>
      <c r="D265" s="243">
        <v>3200</v>
      </c>
      <c r="E265" s="243">
        <v>10000</v>
      </c>
      <c r="F265" s="250">
        <v>7.4154096471781093E-5</v>
      </c>
      <c r="G265" s="248">
        <v>3.1730782408760021E-4</v>
      </c>
      <c r="H265" s="244">
        <v>0.41347101327231123</v>
      </c>
      <c r="I265" s="248">
        <v>1.4346221068322983E-4</v>
      </c>
      <c r="J265" s="247">
        <v>0.13231072424713961</v>
      </c>
      <c r="K265" s="245">
        <v>1.4744641112666561</v>
      </c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</row>
    <row r="266" spans="3:23">
      <c r="C266" s="243">
        <v>2</v>
      </c>
      <c r="D266" s="243">
        <v>3200</v>
      </c>
      <c r="E266" s="243">
        <v>10000</v>
      </c>
      <c r="F266" s="250">
        <v>1.0446567701458468E-4</v>
      </c>
      <c r="G266" s="248">
        <v>2.4315372761581913E-4</v>
      </c>
      <c r="H266" s="244">
        <v>0.47884031696632889</v>
      </c>
      <c r="I266" s="248">
        <v>1.0211510935599871E-4</v>
      </c>
      <c r="J266" s="247">
        <v>0.15322890142922524</v>
      </c>
      <c r="K266" s="245">
        <v>1.1048602783098171</v>
      </c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</row>
    <row r="267" spans="3:23">
      <c r="C267" s="23">
        <v>1</v>
      </c>
      <c r="D267" s="23">
        <v>3200</v>
      </c>
      <c r="E267" s="23">
        <v>10000</v>
      </c>
      <c r="F267" s="57">
        <v>1.3868805060123445E-4</v>
      </c>
      <c r="G267" s="56">
        <v>1.3868805060123445E-4</v>
      </c>
      <c r="H267" s="35">
        <v>0.54231077659365812</v>
      </c>
      <c r="I267" s="56">
        <v>5.4231077659365812E-5</v>
      </c>
      <c r="J267" s="55">
        <v>0.17353944850997061</v>
      </c>
      <c r="K267" s="36">
        <v>0.61734121043392087</v>
      </c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</row>
    <row r="268" spans="3:23"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</row>
    <row r="272" spans="3:23">
      <c r="C272" s="18" t="s">
        <v>236</v>
      </c>
    </row>
    <row r="274" spans="3:15">
      <c r="J274" s="15" t="s">
        <v>237</v>
      </c>
    </row>
    <row r="275" spans="3:15" ht="29.25">
      <c r="C275" s="87" t="s">
        <v>136</v>
      </c>
      <c r="D275" s="87" t="s">
        <v>238</v>
      </c>
      <c r="E275" s="87" t="s">
        <v>239</v>
      </c>
      <c r="F275" s="129" t="s">
        <v>240</v>
      </c>
      <c r="G275" s="87" t="s">
        <v>241</v>
      </c>
      <c r="H275" s="87" t="s">
        <v>242</v>
      </c>
      <c r="I275" s="87" t="s">
        <v>243</v>
      </c>
    </row>
    <row r="276" spans="3:15">
      <c r="C276" s="2" t="s">
        <v>19</v>
      </c>
      <c r="D276" s="104">
        <v>100</v>
      </c>
      <c r="E276" s="60">
        <v>26</v>
      </c>
      <c r="F276" s="60">
        <v>4.7192305501184624</v>
      </c>
      <c r="G276" s="86">
        <v>2227.1136985171406</v>
      </c>
      <c r="H276" s="86">
        <v>122.69999430308002</v>
      </c>
      <c r="I276" s="286">
        <v>0.55567479634310679</v>
      </c>
      <c r="O276" s="82">
        <v>75</v>
      </c>
    </row>
    <row r="277" spans="3:15">
      <c r="C277" s="243">
        <v>5</v>
      </c>
      <c r="D277" s="82">
        <v>200</v>
      </c>
      <c r="E277" s="245">
        <v>16</v>
      </c>
      <c r="F277" s="245">
        <v>6.0783048922031533</v>
      </c>
      <c r="G277" s="249">
        <v>7389.1580725161575</v>
      </c>
      <c r="H277" s="249">
        <v>97.252878275250453</v>
      </c>
      <c r="I277" s="287"/>
      <c r="O277" s="82">
        <v>87.5</v>
      </c>
    </row>
    <row r="278" spans="3:15">
      <c r="C278" s="243">
        <v>4</v>
      </c>
      <c r="D278" s="82">
        <v>200</v>
      </c>
      <c r="E278" s="245">
        <v>16</v>
      </c>
      <c r="F278" s="245">
        <v>6.060165054726995</v>
      </c>
      <c r="G278" s="249">
        <v>7345.1200981068478</v>
      </c>
      <c r="H278" s="249">
        <v>96.962640875631919</v>
      </c>
      <c r="I278" s="287"/>
      <c r="O278" s="82">
        <v>87.5</v>
      </c>
    </row>
    <row r="279" spans="3:15">
      <c r="C279" s="243">
        <v>3</v>
      </c>
      <c r="D279" s="82">
        <v>200</v>
      </c>
      <c r="E279" s="245">
        <v>15</v>
      </c>
      <c r="F279" s="245">
        <v>6.1234898588577735</v>
      </c>
      <c r="G279" s="249">
        <v>7499.4256103068001</v>
      </c>
      <c r="H279" s="249">
        <v>91.85234788286661</v>
      </c>
      <c r="I279" s="287"/>
      <c r="O279" s="82">
        <v>87.5</v>
      </c>
    </row>
    <row r="280" spans="3:15">
      <c r="C280" s="243">
        <v>2</v>
      </c>
      <c r="D280" s="82">
        <v>200</v>
      </c>
      <c r="E280" s="245">
        <v>17</v>
      </c>
      <c r="F280" s="245">
        <v>7.1350734378363354</v>
      </c>
      <c r="G280" s="249">
        <v>10181.854592663523</v>
      </c>
      <c r="H280" s="249">
        <v>121.29624844321771</v>
      </c>
      <c r="I280" s="287"/>
      <c r="O280" s="82">
        <v>87.5</v>
      </c>
    </row>
    <row r="281" spans="3:15">
      <c r="C281" s="23">
        <v>1</v>
      </c>
      <c r="D281" s="83">
        <v>200</v>
      </c>
      <c r="E281" s="36">
        <v>9</v>
      </c>
      <c r="F281" s="36">
        <v>7.460974930403296</v>
      </c>
      <c r="G281" s="54">
        <v>11133.229382421294</v>
      </c>
      <c r="H281" s="54">
        <v>67.148774373629664</v>
      </c>
      <c r="I281" s="288"/>
      <c r="O281" s="82">
        <v>87.5</v>
      </c>
    </row>
    <row r="287" spans="3:15" ht="15">
      <c r="C287" s="18" t="s">
        <v>244</v>
      </c>
    </row>
    <row r="289" spans="3:13">
      <c r="D289" s="16"/>
      <c r="G289" s="16"/>
      <c r="H289" s="84"/>
    </row>
    <row r="290" spans="3:13">
      <c r="D290" s="16"/>
      <c r="G290" s="16"/>
      <c r="H290" s="85"/>
    </row>
    <row r="291" spans="3:13" ht="25.5">
      <c r="C291" s="87" t="s">
        <v>136</v>
      </c>
      <c r="D291" s="87" t="s">
        <v>216</v>
      </c>
      <c r="E291" s="87" t="s">
        <v>94</v>
      </c>
      <c r="F291" s="87" t="s">
        <v>245</v>
      </c>
      <c r="G291" s="87" t="s">
        <v>246</v>
      </c>
      <c r="H291" s="87" t="s">
        <v>247</v>
      </c>
      <c r="I291" s="87" t="s">
        <v>248</v>
      </c>
      <c r="J291" s="87" t="s">
        <v>85</v>
      </c>
      <c r="K291" s="87" t="s">
        <v>249</v>
      </c>
      <c r="L291" s="202" t="s">
        <v>250</v>
      </c>
      <c r="M291" s="202" t="s">
        <v>251</v>
      </c>
    </row>
    <row r="292" spans="3:13">
      <c r="C292" s="2" t="s">
        <v>19</v>
      </c>
      <c r="D292" s="59">
        <v>2.6</v>
      </c>
      <c r="E292" s="2">
        <v>3430</v>
      </c>
      <c r="F292" s="86">
        <v>9500</v>
      </c>
      <c r="G292" s="86">
        <v>42560</v>
      </c>
      <c r="H292" s="86">
        <v>10000</v>
      </c>
      <c r="I292" s="86">
        <v>6900</v>
      </c>
      <c r="J292" s="61">
        <v>0.14324899280424908</v>
      </c>
      <c r="K292" s="60">
        <v>0.13385839450800915</v>
      </c>
      <c r="L292" s="60">
        <v>10129.571421777971</v>
      </c>
      <c r="M292" s="290">
        <v>13427.638501573883</v>
      </c>
    </row>
    <row r="293" spans="3:13">
      <c r="C293" s="243">
        <v>5</v>
      </c>
      <c r="D293" s="244">
        <v>4.2</v>
      </c>
      <c r="E293" s="243">
        <v>3200</v>
      </c>
      <c r="F293" s="249">
        <v>9500</v>
      </c>
      <c r="G293" s="249">
        <v>42560</v>
      </c>
      <c r="H293" s="249">
        <v>10000</v>
      </c>
      <c r="I293" s="249">
        <v>6900</v>
      </c>
      <c r="J293" s="247">
        <v>0.25958582275917919</v>
      </c>
      <c r="K293" s="245">
        <v>0.25873132814645311</v>
      </c>
      <c r="L293" s="245">
        <v>10225.661391829337</v>
      </c>
      <c r="M293" s="291"/>
    </row>
    <row r="294" spans="3:13">
      <c r="C294" s="243">
        <v>4</v>
      </c>
      <c r="D294" s="244">
        <v>5.8</v>
      </c>
      <c r="E294" s="243">
        <v>3200</v>
      </c>
      <c r="F294" s="249">
        <v>9500</v>
      </c>
      <c r="G294" s="249">
        <v>63840</v>
      </c>
      <c r="H294" s="249">
        <v>10000</v>
      </c>
      <c r="I294" s="249">
        <v>6900</v>
      </c>
      <c r="J294" s="247">
        <v>0.17821361382895484</v>
      </c>
      <c r="K294" s="245">
        <v>0.35550944020921871</v>
      </c>
      <c r="L294" s="245">
        <v>13713.744625108871</v>
      </c>
      <c r="M294" s="291"/>
    </row>
    <row r="295" spans="3:13">
      <c r="C295" s="243">
        <v>3</v>
      </c>
      <c r="D295" s="244">
        <v>7.3</v>
      </c>
      <c r="E295" s="243">
        <v>3200</v>
      </c>
      <c r="F295" s="249">
        <v>9500</v>
      </c>
      <c r="G295" s="249">
        <v>85120</v>
      </c>
      <c r="H295" s="249">
        <v>10000</v>
      </c>
      <c r="I295" s="249">
        <v>6900</v>
      </c>
      <c r="J295" s="247">
        <v>0.12547236730010577</v>
      </c>
      <c r="K295" s="245">
        <v>0.41347101327231123</v>
      </c>
      <c r="L295" s="245">
        <v>16144.71656198185</v>
      </c>
      <c r="M295" s="291"/>
    </row>
    <row r="296" spans="3:13">
      <c r="C296" s="243">
        <v>2</v>
      </c>
      <c r="D296" s="244">
        <v>9</v>
      </c>
      <c r="E296" s="243">
        <v>3200</v>
      </c>
      <c r="F296" s="249">
        <v>9500</v>
      </c>
      <c r="G296" s="249">
        <v>106400</v>
      </c>
      <c r="H296" s="249">
        <v>10000</v>
      </c>
      <c r="I296" s="249">
        <v>6900</v>
      </c>
      <c r="J296" s="247">
        <v>0.19071611468021329</v>
      </c>
      <c r="K296" s="245">
        <v>0.47884031696632889</v>
      </c>
      <c r="L296" s="245">
        <v>15377.053184581457</v>
      </c>
      <c r="M296" s="291"/>
    </row>
    <row r="297" spans="3:13">
      <c r="C297" s="23">
        <v>1</v>
      </c>
      <c r="D297" s="35">
        <v>9.9</v>
      </c>
      <c r="E297" s="23">
        <v>3200</v>
      </c>
      <c r="F297" s="54">
        <v>9500</v>
      </c>
      <c r="G297" s="54">
        <v>127680</v>
      </c>
      <c r="H297" s="54">
        <v>10000</v>
      </c>
      <c r="I297" s="54">
        <v>6900</v>
      </c>
      <c r="J297" s="55">
        <v>0.23076649876305808</v>
      </c>
      <c r="K297" s="36">
        <v>0.54231077659365812</v>
      </c>
      <c r="L297" s="36">
        <v>14975.08382416381</v>
      </c>
      <c r="M297" s="292"/>
    </row>
    <row r="298" spans="3:13">
      <c r="D298" s="16"/>
      <c r="G298" s="16"/>
      <c r="H298" s="84"/>
    </row>
    <row r="299" spans="3:13">
      <c r="D299" s="16"/>
      <c r="G299" s="16"/>
      <c r="H299" s="84"/>
    </row>
    <row r="300" spans="3:13">
      <c r="D300" s="16"/>
      <c r="G300" s="16"/>
      <c r="H300" s="84"/>
    </row>
    <row r="301" spans="3:13">
      <c r="D301" s="16"/>
      <c r="G301" s="16"/>
      <c r="H301" s="84"/>
    </row>
    <row r="302" spans="3:13">
      <c r="D302" s="16"/>
      <c r="G302" s="16"/>
      <c r="H302" s="84"/>
    </row>
    <row r="310" spans="4:8">
      <c r="D310" s="16"/>
      <c r="G310" s="16"/>
      <c r="H310" s="84"/>
    </row>
  </sheetData>
  <mergeCells count="59">
    <mergeCell ref="M292:M297"/>
    <mergeCell ref="C92:C93"/>
    <mergeCell ref="D92:I92"/>
    <mergeCell ref="J92:K92"/>
    <mergeCell ref="L92:M92"/>
    <mergeCell ref="N92:P92"/>
    <mergeCell ref="I276:I281"/>
    <mergeCell ref="C80:C81"/>
    <mergeCell ref="D80:F80"/>
    <mergeCell ref="G80:H80"/>
    <mergeCell ref="I80:K80"/>
    <mergeCell ref="L80:O80"/>
    <mergeCell ref="P80:R80"/>
    <mergeCell ref="C67:C68"/>
    <mergeCell ref="D67:D68"/>
    <mergeCell ref="E67:G67"/>
    <mergeCell ref="H67:J67"/>
    <mergeCell ref="K67:M67"/>
    <mergeCell ref="N67:P67"/>
    <mergeCell ref="C47:V47"/>
    <mergeCell ref="C48:H48"/>
    <mergeCell ref="I48:J48"/>
    <mergeCell ref="L48:Q48"/>
    <mergeCell ref="C56:V56"/>
    <mergeCell ref="C57:H57"/>
    <mergeCell ref="I57:J57"/>
    <mergeCell ref="L57:Q57"/>
    <mergeCell ref="P25:P26"/>
    <mergeCell ref="Y25:AD25"/>
    <mergeCell ref="C38:V38"/>
    <mergeCell ref="C39:H39"/>
    <mergeCell ref="I39:J39"/>
    <mergeCell ref="L39:Q39"/>
    <mergeCell ref="J25:J26"/>
    <mergeCell ref="K25:K26"/>
    <mergeCell ref="L25:L26"/>
    <mergeCell ref="M25:M26"/>
    <mergeCell ref="N25:N26"/>
    <mergeCell ref="O25:O26"/>
    <mergeCell ref="N9:O9"/>
    <mergeCell ref="P9:Q9"/>
    <mergeCell ref="R9:S9"/>
    <mergeCell ref="C25:C26"/>
    <mergeCell ref="D25:D26"/>
    <mergeCell ref="E25:E26"/>
    <mergeCell ref="F25:F26"/>
    <mergeCell ref="G25:G26"/>
    <mergeCell ref="H25:H26"/>
    <mergeCell ref="I25:I26"/>
    <mergeCell ref="H1:M1"/>
    <mergeCell ref="H2:M2"/>
    <mergeCell ref="H3:J3"/>
    <mergeCell ref="L3:M3"/>
    <mergeCell ref="C9:C10"/>
    <mergeCell ref="D9:E9"/>
    <mergeCell ref="F9:G9"/>
    <mergeCell ref="H9:I9"/>
    <mergeCell ref="J9:K9"/>
    <mergeCell ref="L9:M9"/>
  </mergeCells>
  <dataValidations count="11">
    <dataValidation type="list" allowBlank="1" showInputMessage="1" showErrorMessage="1" sqref="T25" xr:uid="{BF3508B9-8BA3-4644-BE6C-0EF7AF209399}">
      <formula1>"symmetric, Asym_2, Asym_3, Asym_4, Asym_6"</formula1>
    </dataValidation>
    <dataValidation type="list" allowBlank="1" showInputMessage="1" showErrorMessage="1" sqref="R41:R46" xr:uid="{1B6DE0FD-A431-4514-952A-19D276BF5000}">
      <formula1>"2x6,2x4"</formula1>
    </dataValidation>
    <dataValidation type="list" allowBlank="1" showInputMessage="1" showErrorMessage="1" sqref="N94:N99" xr:uid="{90171E6E-F378-483E-85A8-BE3CAF6E4854}">
      <formula1>"ATUD6-2, ATUD9, ATUD9-2, ATUD9-3, ATUD14, TUD10,                    RTUD4, RTUD5, RTUD6,                    CTUD55, CTUD65, CTUD66, CTUD75, CTUD76, CTUD77,                    CTUD87, CTUD88, CTUD97, CTUD98, CTUD99"</formula1>
    </dataValidation>
    <dataValidation type="list" allowBlank="1" showInputMessage="1" showErrorMessage="1" sqref="L94:L99" xr:uid="{DEDC44D2-05F6-4AF6-9350-52441587F311}">
      <formula1>"BPRTUD3-4B,BPRTUD5-6B,BPRTUD7-8C,BPRTUD7-8B"</formula1>
    </dataValidation>
    <dataValidation type="list" allowBlank="1" showInputMessage="1" showErrorMessage="1" sqref="E69:E74" xr:uid="{B80D37EF-59AF-45B9-8644-6E294AE91648}">
      <formula1>"A35,LTP4,LS70,LS90"</formula1>
    </dataValidation>
    <dataValidation type="list" allowBlank="1" showInputMessage="1" showErrorMessage="1" sqref="M41:M46" xr:uid="{1611FAD6-2BBA-40D9-BF45-527B594E0BC6}">
      <formula1>"SR4,SR5,SR6,SR7,SR8,SR9,SR10,SR11,SR12,SR13,SR14,SR16,SR4H,SR5H,SR6H,SR7H,SR8H,SR9H,SR10H,SR11H,SR12H,SR14H,SR16H"</formula1>
    </dataValidation>
    <dataValidation type="list" allowBlank="1" showInputMessage="1" showErrorMessage="1" sqref="D41:D46" xr:uid="{8A4F535C-AAC9-4AE1-A018-8BFED17CFDE7}">
      <formula1>"9.5,12.5,15.5,18.5"</formula1>
    </dataValidation>
    <dataValidation type="list" allowBlank="1" showInputMessage="1" showErrorMessage="1" sqref="E41:E46" xr:uid="{A6EA64C8-68BE-4A22-BCEB-644A0628E008}">
      <formula1>"B.S,O.S"</formula1>
    </dataValidation>
    <dataValidation type="list" allowBlank="1" showInputMessage="1" showErrorMessage="1" sqref="H41:H46" xr:uid="{509E5703-F069-4265-B5D3-8A30DAC5C6ED}">
      <formula1>"150,125,100,75,50"</formula1>
    </dataValidation>
    <dataValidation type="list" allowBlank="1" showInputMessage="1" showErrorMessage="1" sqref="AP40:AP45" xr:uid="{50D1BDFE-88B4-43F0-AEAF-0157713ED311}">
      <formula1>"S.S.,No.1 / No.2,No.3 / Stud"</formula1>
    </dataValidation>
    <dataValidation type="list" allowBlank="1" showInputMessage="1" showErrorMessage="1" sqref="F21" xr:uid="{23B746BD-3995-423C-A20A-177D82692486}">
      <formula1>$F$9:$Z$9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3" name="Button 1">
              <controlPr defaultSize="0" print="0" autoFill="0" autoPict="0">
                <anchor moveWithCells="1" sizeWithCells="1">
                  <from>
                    <xdr:col>11</xdr:col>
                    <xdr:colOff>628650</xdr:colOff>
                    <xdr:row>33</xdr:row>
                    <xdr:rowOff>152400</xdr:rowOff>
                  </from>
                  <to>
                    <xdr:col>14</xdr:col>
                    <xdr:colOff>704850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4" name="Button 2">
              <controlPr defaultSize="0" print="0" autoFill="0" autoPict="0">
                <anchor moveWithCells="1" sizeWithCells="1">
                  <from>
                    <xdr:col>15</xdr:col>
                    <xdr:colOff>228600</xdr:colOff>
                    <xdr:row>33</xdr:row>
                    <xdr:rowOff>133350</xdr:rowOff>
                  </from>
                  <to>
                    <xdr:col>18</xdr:col>
                    <xdr:colOff>371475</xdr:colOff>
                    <xdr:row>35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5" name="Button 3">
              <controlPr defaultSize="0" print="0" autoFill="0" autoPict="0" macro="[0]!wallanalysis">
                <anchor moveWithCells="1" sizeWithCells="1">
                  <from>
                    <xdr:col>4</xdr:col>
                    <xdr:colOff>1047750</xdr:colOff>
                    <xdr:row>33</xdr:row>
                    <xdr:rowOff>171450</xdr:rowOff>
                  </from>
                  <to>
                    <xdr:col>7</xdr:col>
                    <xdr:colOff>266700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6" name="Button 4">
              <controlPr defaultSize="0" print="0" autoFill="0" autoPict="0" macro="[0]!CopyTableToNext">
                <anchor moveWithCells="1" sizeWithCells="1">
                  <from>
                    <xdr:col>8</xdr:col>
                    <xdr:colOff>47625</xdr:colOff>
                    <xdr:row>33</xdr:row>
                    <xdr:rowOff>161925</xdr:rowOff>
                  </from>
                  <to>
                    <xdr:col>11</xdr:col>
                    <xdr:colOff>133350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7" name="Button 5">
              <controlPr defaultSize="0" print="0" autoFill="0" autoPict="0">
                <anchor moveWithCells="1" sizeWithCells="1">
                  <from>
                    <xdr:col>18</xdr:col>
                    <xdr:colOff>723900</xdr:colOff>
                    <xdr:row>33</xdr:row>
                    <xdr:rowOff>133350</xdr:rowOff>
                  </from>
                  <to>
                    <xdr:col>22</xdr:col>
                    <xdr:colOff>152400</xdr:colOff>
                    <xdr:row>35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5C21E-C851-4938-ABFA-658E756D608B}">
  <sheetPr codeName="Sheet1"/>
  <dimension ref="A1:R28"/>
  <sheetViews>
    <sheetView showGridLines="0" tabSelected="1" topLeftCell="A5" workbookViewId="0">
      <selection activeCell="F16" sqref="F16"/>
    </sheetView>
  </sheetViews>
  <sheetFormatPr defaultRowHeight="14.25"/>
  <cols>
    <col min="1" max="16" width="9.140625" style="15"/>
    <col min="17" max="17" width="8.85546875" style="15" bestFit="1" customWidth="1"/>
    <col min="18" max="16384" width="9.140625" style="15"/>
  </cols>
  <sheetData>
    <row r="1" spans="1:18">
      <c r="A1" s="17"/>
      <c r="B1" s="17"/>
      <c r="C1" s="17"/>
      <c r="D1" s="17"/>
      <c r="E1" s="17"/>
      <c r="F1" s="105"/>
      <c r="G1" s="206" t="s">
        <v>254</v>
      </c>
      <c r="H1" s="253" t="s">
        <v>396</v>
      </c>
      <c r="I1" s="254"/>
      <c r="J1" s="254"/>
      <c r="K1" s="254"/>
      <c r="L1" s="254"/>
      <c r="M1" s="254"/>
    </row>
    <row r="2" spans="1:18">
      <c r="A2" s="17"/>
      <c r="B2" s="17"/>
      <c r="C2" s="17"/>
      <c r="D2" s="17"/>
      <c r="E2" s="17"/>
      <c r="F2" s="105"/>
      <c r="G2" s="206" t="s">
        <v>256</v>
      </c>
      <c r="H2" s="253" t="s">
        <v>397</v>
      </c>
      <c r="I2" s="253"/>
      <c r="J2" s="253"/>
      <c r="K2" s="253"/>
      <c r="L2" s="253"/>
      <c r="M2" s="253"/>
    </row>
    <row r="3" spans="1:18">
      <c r="A3" s="17"/>
      <c r="B3" s="17"/>
      <c r="C3" s="17"/>
      <c r="D3" s="17"/>
      <c r="E3" s="17"/>
      <c r="F3" s="105"/>
      <c r="G3" s="206" t="s">
        <v>258</v>
      </c>
      <c r="H3" s="253" t="s">
        <v>317</v>
      </c>
      <c r="I3" s="253"/>
      <c r="J3" s="253"/>
      <c r="K3" s="106" t="s">
        <v>259</v>
      </c>
      <c r="L3" s="255">
        <f ca="1">NOW()</f>
        <v>45824.664205324072</v>
      </c>
      <c r="M3" s="255"/>
    </row>
    <row r="12" spans="1:18" ht="15">
      <c r="F12" s="225" t="s">
        <v>432</v>
      </c>
    </row>
    <row r="13" spans="1:18" ht="15">
      <c r="F13" s="225"/>
    </row>
    <row r="14" spans="1:18" ht="15">
      <c r="F14" s="273" t="s">
        <v>34</v>
      </c>
      <c r="G14" s="273"/>
      <c r="H14" s="273"/>
      <c r="I14" s="273"/>
      <c r="J14" s="273"/>
      <c r="K14" s="273"/>
      <c r="L14" s="301" t="s">
        <v>526</v>
      </c>
      <c r="M14" s="302"/>
      <c r="N14" s="302"/>
      <c r="O14" s="301" t="s">
        <v>37</v>
      </c>
      <c r="P14" s="302"/>
      <c r="Q14" s="301" t="s">
        <v>78</v>
      </c>
      <c r="R14" s="301"/>
    </row>
    <row r="15" spans="1:18" ht="52.5">
      <c r="F15" s="126" t="s">
        <v>38</v>
      </c>
      <c r="G15" s="126" t="s">
        <v>39</v>
      </c>
      <c r="H15" s="126" t="s">
        <v>40</v>
      </c>
      <c r="I15" s="126" t="s">
        <v>41</v>
      </c>
      <c r="J15" s="126" t="s">
        <v>42</v>
      </c>
      <c r="K15" s="126" t="s">
        <v>43</v>
      </c>
      <c r="L15" s="126" t="s">
        <v>47</v>
      </c>
      <c r="M15" s="126" t="s">
        <v>48</v>
      </c>
      <c r="N15" s="126" t="s">
        <v>49</v>
      </c>
      <c r="O15" s="126" t="s">
        <v>51</v>
      </c>
      <c r="P15" s="126" t="s">
        <v>49</v>
      </c>
      <c r="Q15" s="127" t="s">
        <v>433</v>
      </c>
      <c r="R15" s="127" t="s">
        <v>95</v>
      </c>
    </row>
    <row r="16" spans="1:18">
      <c r="F16" s="207" t="s">
        <v>54</v>
      </c>
      <c r="G16" s="208">
        <v>12.5</v>
      </c>
      <c r="H16" s="208" t="s">
        <v>55</v>
      </c>
      <c r="I16" s="208">
        <v>64</v>
      </c>
      <c r="J16" s="208">
        <v>3.66</v>
      </c>
      <c r="K16" s="208">
        <v>150</v>
      </c>
      <c r="L16" s="208" t="s">
        <v>56</v>
      </c>
      <c r="M16" s="208" t="s">
        <v>57</v>
      </c>
      <c r="N16" s="208">
        <v>1</v>
      </c>
      <c r="O16" s="208" t="s">
        <v>58</v>
      </c>
      <c r="P16" s="208">
        <v>8</v>
      </c>
      <c r="Q16" s="214">
        <v>10.779491979236475</v>
      </c>
      <c r="R16" s="303">
        <v>3.142709031847369E-3</v>
      </c>
    </row>
    <row r="17" spans="6:18">
      <c r="F17" s="212" t="s">
        <v>54</v>
      </c>
      <c r="G17" s="213">
        <v>12.5</v>
      </c>
      <c r="H17" s="213" t="s">
        <v>55</v>
      </c>
      <c r="I17" s="213">
        <v>64</v>
      </c>
      <c r="J17" s="213">
        <v>3.66</v>
      </c>
      <c r="K17" s="213">
        <v>125</v>
      </c>
      <c r="L17" s="213" t="s">
        <v>56</v>
      </c>
      <c r="M17" s="213" t="s">
        <v>57</v>
      </c>
      <c r="N17" s="213">
        <v>1</v>
      </c>
      <c r="O17" s="213" t="s">
        <v>58</v>
      </c>
      <c r="P17" s="213">
        <v>8</v>
      </c>
      <c r="Q17" s="214">
        <v>11.239471360244998</v>
      </c>
      <c r="R17" s="303">
        <v>3.5123348000765621E-3</v>
      </c>
    </row>
    <row r="18" spans="6:18">
      <c r="F18" s="212" t="s">
        <v>54</v>
      </c>
      <c r="G18" s="213">
        <v>12.5</v>
      </c>
      <c r="H18" s="213" t="s">
        <v>55</v>
      </c>
      <c r="I18" s="213">
        <v>64</v>
      </c>
      <c r="J18" s="213">
        <v>3.66</v>
      </c>
      <c r="K18" s="213">
        <v>75</v>
      </c>
      <c r="L18" s="213" t="s">
        <v>56</v>
      </c>
      <c r="M18" s="213" t="s">
        <v>57</v>
      </c>
      <c r="N18" s="213">
        <v>1</v>
      </c>
      <c r="O18" s="213" t="s">
        <v>58</v>
      </c>
      <c r="P18" s="213">
        <v>12</v>
      </c>
      <c r="Q18" s="214">
        <v>10.50268502311992</v>
      </c>
      <c r="R18" s="303">
        <v>3.2820890697249751E-3</v>
      </c>
    </row>
    <row r="19" spans="6:18">
      <c r="F19" s="212" t="s">
        <v>54</v>
      </c>
      <c r="G19" s="213">
        <v>12.5</v>
      </c>
      <c r="H19" s="213" t="s">
        <v>55</v>
      </c>
      <c r="I19" s="213">
        <v>64</v>
      </c>
      <c r="J19" s="213">
        <v>3.66</v>
      </c>
      <c r="K19" s="213">
        <v>50</v>
      </c>
      <c r="L19" s="213" t="s">
        <v>56</v>
      </c>
      <c r="M19" s="213" t="s">
        <v>57</v>
      </c>
      <c r="N19" s="213">
        <v>1</v>
      </c>
      <c r="O19" s="213" t="s">
        <v>58</v>
      </c>
      <c r="P19" s="213">
        <v>16</v>
      </c>
      <c r="Q19" s="214">
        <v>9.5638144324997718</v>
      </c>
      <c r="R19" s="303">
        <v>2.9886920101561787E-3</v>
      </c>
    </row>
    <row r="20" spans="6:18">
      <c r="F20" s="212" t="s">
        <v>54</v>
      </c>
      <c r="G20" s="213">
        <v>12.5</v>
      </c>
      <c r="H20" s="213" t="s">
        <v>55</v>
      </c>
      <c r="I20" s="213">
        <v>64</v>
      </c>
      <c r="J20" s="213">
        <v>3.66</v>
      </c>
      <c r="K20" s="213">
        <v>50</v>
      </c>
      <c r="L20" s="213" t="s">
        <v>56</v>
      </c>
      <c r="M20" s="213" t="s">
        <v>57</v>
      </c>
      <c r="N20" s="213">
        <v>1</v>
      </c>
      <c r="O20" s="213" t="s">
        <v>58</v>
      </c>
      <c r="P20" s="213">
        <v>20</v>
      </c>
      <c r="Q20" s="214">
        <v>9.1651779338490371</v>
      </c>
      <c r="R20" s="303">
        <v>2.8641181043278243E-3</v>
      </c>
    </row>
    <row r="21" spans="6:18">
      <c r="F21" s="217" t="s">
        <v>54</v>
      </c>
      <c r="G21" s="218">
        <v>12.5</v>
      </c>
      <c r="H21" s="218" t="s">
        <v>55</v>
      </c>
      <c r="I21" s="218">
        <v>64</v>
      </c>
      <c r="J21" s="218">
        <v>3.66</v>
      </c>
      <c r="K21" s="218">
        <v>50</v>
      </c>
      <c r="L21" s="218" t="s">
        <v>56</v>
      </c>
      <c r="M21" s="218" t="s">
        <v>57</v>
      </c>
      <c r="N21" s="218">
        <v>1</v>
      </c>
      <c r="O21" s="218" t="s">
        <v>58</v>
      </c>
      <c r="P21" s="218">
        <v>24</v>
      </c>
      <c r="Q21" s="219">
        <v>7.7318321143310147</v>
      </c>
      <c r="R21" s="304">
        <v>2.4161975357284422E-3</v>
      </c>
    </row>
    <row r="22" spans="6:18">
      <c r="F22" s="305" t="s">
        <v>54</v>
      </c>
      <c r="G22" s="306">
        <v>12.5</v>
      </c>
      <c r="H22" s="306" t="s">
        <v>55</v>
      </c>
      <c r="I22" s="306">
        <v>64</v>
      </c>
      <c r="J22" s="306">
        <v>3.66</v>
      </c>
      <c r="K22" s="306">
        <v>150</v>
      </c>
      <c r="L22" s="306" t="s">
        <v>56</v>
      </c>
      <c r="M22" s="306" t="s">
        <v>57</v>
      </c>
      <c r="N22" s="306">
        <v>1</v>
      </c>
      <c r="O22" s="306" t="s">
        <v>58</v>
      </c>
      <c r="P22" s="306">
        <v>8</v>
      </c>
      <c r="Q22" s="307">
        <v>10.779491979236475</v>
      </c>
      <c r="R22" s="308">
        <v>3.142709031847369E-3</v>
      </c>
    </row>
    <row r="23" spans="6:18">
      <c r="F23" s="309" t="s">
        <v>54</v>
      </c>
      <c r="G23" s="169">
        <v>12.5</v>
      </c>
      <c r="H23" s="169" t="s">
        <v>55</v>
      </c>
      <c r="I23" s="169">
        <v>64</v>
      </c>
      <c r="J23" s="169">
        <v>3.66</v>
      </c>
      <c r="K23" s="169">
        <v>125</v>
      </c>
      <c r="L23" s="169" t="s">
        <v>56</v>
      </c>
      <c r="M23" s="169" t="s">
        <v>57</v>
      </c>
      <c r="N23" s="169">
        <v>1</v>
      </c>
      <c r="O23" s="169" t="s">
        <v>58</v>
      </c>
      <c r="P23" s="169">
        <v>8</v>
      </c>
      <c r="Q23" s="307">
        <v>11.239471360244998</v>
      </c>
      <c r="R23" s="308">
        <v>3.5123348000765621E-3</v>
      </c>
    </row>
    <row r="24" spans="6:18">
      <c r="F24" s="309" t="s">
        <v>54</v>
      </c>
      <c r="G24" s="169">
        <v>12.5</v>
      </c>
      <c r="H24" s="169" t="s">
        <v>55</v>
      </c>
      <c r="I24" s="169">
        <v>64</v>
      </c>
      <c r="J24" s="169">
        <v>3.66</v>
      </c>
      <c r="K24" s="169">
        <v>75</v>
      </c>
      <c r="L24" s="169" t="s">
        <v>56</v>
      </c>
      <c r="M24" s="169" t="s">
        <v>57</v>
      </c>
      <c r="N24" s="169">
        <v>1</v>
      </c>
      <c r="O24" s="169" t="s">
        <v>58</v>
      </c>
      <c r="P24" s="169">
        <v>12</v>
      </c>
      <c r="Q24" s="307">
        <v>10.50268502311992</v>
      </c>
      <c r="R24" s="308">
        <v>3.2820890697249751E-3</v>
      </c>
    </row>
    <row r="25" spans="6:18">
      <c r="F25" s="309" t="s">
        <v>54</v>
      </c>
      <c r="G25" s="169">
        <v>12.5</v>
      </c>
      <c r="H25" s="169" t="s">
        <v>55</v>
      </c>
      <c r="I25" s="169">
        <v>64</v>
      </c>
      <c r="J25" s="169">
        <v>3.66</v>
      </c>
      <c r="K25" s="169">
        <v>50</v>
      </c>
      <c r="L25" s="169" t="s">
        <v>56</v>
      </c>
      <c r="M25" s="169" t="s">
        <v>57</v>
      </c>
      <c r="N25" s="169">
        <v>1</v>
      </c>
      <c r="O25" s="169" t="s">
        <v>58</v>
      </c>
      <c r="P25" s="169">
        <v>16</v>
      </c>
      <c r="Q25" s="307">
        <v>9.5638144324997718</v>
      </c>
      <c r="R25" s="308">
        <v>2.9886920101561787E-3</v>
      </c>
    </row>
    <row r="26" spans="6:18">
      <c r="F26" s="309" t="s">
        <v>54</v>
      </c>
      <c r="G26" s="169">
        <v>12.5</v>
      </c>
      <c r="H26" s="169" t="s">
        <v>55</v>
      </c>
      <c r="I26" s="169">
        <v>64</v>
      </c>
      <c r="J26" s="169">
        <v>3.66</v>
      </c>
      <c r="K26" s="169">
        <v>50</v>
      </c>
      <c r="L26" s="169" t="s">
        <v>56</v>
      </c>
      <c r="M26" s="169" t="s">
        <v>57</v>
      </c>
      <c r="N26" s="169">
        <v>1</v>
      </c>
      <c r="O26" s="169" t="s">
        <v>58</v>
      </c>
      <c r="P26" s="169">
        <v>20</v>
      </c>
      <c r="Q26" s="307">
        <v>9.1651779338490371</v>
      </c>
      <c r="R26" s="308">
        <v>2.8641181043278243E-3</v>
      </c>
    </row>
    <row r="27" spans="6:18">
      <c r="F27" s="310" t="s">
        <v>54</v>
      </c>
      <c r="G27" s="311">
        <v>12.5</v>
      </c>
      <c r="H27" s="311" t="s">
        <v>55</v>
      </c>
      <c r="I27" s="311">
        <v>64</v>
      </c>
      <c r="J27" s="311">
        <v>3.66</v>
      </c>
      <c r="K27" s="311">
        <v>50</v>
      </c>
      <c r="L27" s="311" t="s">
        <v>56</v>
      </c>
      <c r="M27" s="311" t="s">
        <v>57</v>
      </c>
      <c r="N27" s="311">
        <v>1</v>
      </c>
      <c r="O27" s="311" t="s">
        <v>58</v>
      </c>
      <c r="P27" s="311">
        <v>24</v>
      </c>
      <c r="Q27" s="312">
        <v>7.7318321143310147</v>
      </c>
      <c r="R27" s="313">
        <v>2.4161975357284422E-3</v>
      </c>
    </row>
    <row r="28" spans="6:18" ht="15">
      <c r="F28" s="225"/>
    </row>
  </sheetData>
  <mergeCells count="8">
    <mergeCell ref="H1:M1"/>
    <mergeCell ref="H2:M2"/>
    <mergeCell ref="H3:J3"/>
    <mergeCell ref="L3:M3"/>
    <mergeCell ref="F14:K14"/>
    <mergeCell ref="L14:N14"/>
    <mergeCell ref="O14:P14"/>
    <mergeCell ref="Q14:R14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1621B-98BA-4CAA-B1C0-522F8B0F2F42}">
  <sheetPr codeName="Sheet2"/>
  <dimension ref="A1:M62"/>
  <sheetViews>
    <sheetView showGridLines="0" workbookViewId="0">
      <selection activeCell="Q13" sqref="Q13"/>
    </sheetView>
  </sheetViews>
  <sheetFormatPr defaultRowHeight="15"/>
  <sheetData>
    <row r="1" spans="1:13" ht="15.75">
      <c r="A1" s="293"/>
      <c r="B1" s="293"/>
      <c r="C1" s="293"/>
      <c r="D1" s="293"/>
      <c r="E1" s="293"/>
      <c r="F1" s="294" t="s">
        <v>439</v>
      </c>
      <c r="G1" s="295" t="s">
        <v>440</v>
      </c>
      <c r="H1" s="295"/>
      <c r="I1" s="295"/>
      <c r="J1" s="295"/>
      <c r="K1" s="295"/>
      <c r="L1" s="295"/>
    </row>
    <row r="2" spans="1:13" ht="15.75">
      <c r="A2" s="293"/>
      <c r="B2" s="293"/>
      <c r="C2" s="293"/>
      <c r="D2" s="293"/>
      <c r="E2" s="293"/>
      <c r="F2" s="296" t="s">
        <v>441</v>
      </c>
      <c r="G2" s="297">
        <f ca="1">TODAY()</f>
        <v>45824</v>
      </c>
      <c r="H2" s="297"/>
      <c r="I2" s="297"/>
      <c r="J2" s="296" t="s">
        <v>442</v>
      </c>
      <c r="K2" s="298" t="s">
        <v>443</v>
      </c>
      <c r="L2" s="298"/>
    </row>
    <row r="3" spans="1:13" ht="15.75">
      <c r="A3" s="293"/>
      <c r="B3" s="293"/>
      <c r="C3" s="293"/>
      <c r="D3" s="293"/>
      <c r="E3" s="293"/>
      <c r="F3" s="296" t="s">
        <v>444</v>
      </c>
      <c r="G3" s="298" t="s">
        <v>445</v>
      </c>
      <c r="H3" s="298"/>
      <c r="I3" s="298"/>
      <c r="J3" s="296" t="s">
        <v>446</v>
      </c>
      <c r="K3" s="299"/>
      <c r="L3" s="299"/>
    </row>
    <row r="5" spans="1:13">
      <c r="B5" t="s">
        <v>447</v>
      </c>
    </row>
    <row r="8" spans="1:13">
      <c r="B8" t="s">
        <v>448</v>
      </c>
    </row>
    <row r="9" spans="1:13">
      <c r="C9" t="s">
        <v>449</v>
      </c>
      <c r="D9" t="s">
        <v>450</v>
      </c>
    </row>
    <row r="10" spans="1:13">
      <c r="C10" t="s">
        <v>451</v>
      </c>
      <c r="D10" t="s">
        <v>452</v>
      </c>
      <c r="F10" t="s">
        <v>453</v>
      </c>
      <c r="G10" t="s">
        <v>454</v>
      </c>
    </row>
    <row r="11" spans="1:13">
      <c r="C11" t="s">
        <v>455</v>
      </c>
      <c r="D11">
        <v>49.32</v>
      </c>
      <c r="F11" t="s">
        <v>456</v>
      </c>
      <c r="G11">
        <v>-117.67</v>
      </c>
    </row>
    <row r="12" spans="1:13">
      <c r="J12" t="s">
        <v>457</v>
      </c>
    </row>
    <row r="13" spans="1:13">
      <c r="C13" t="s">
        <v>501</v>
      </c>
      <c r="D13">
        <v>1</v>
      </c>
      <c r="J13" t="s">
        <v>243</v>
      </c>
      <c r="K13" t="s">
        <v>502</v>
      </c>
      <c r="L13" t="s">
        <v>503</v>
      </c>
      <c r="M13" t="s">
        <v>458</v>
      </c>
    </row>
    <row r="14" spans="1:13">
      <c r="J14">
        <v>0.2</v>
      </c>
      <c r="K14">
        <v>0.155</v>
      </c>
      <c r="L14">
        <v>0.23699999999999999</v>
      </c>
      <c r="M14">
        <v>0.23699999999999999</v>
      </c>
    </row>
    <row r="15" spans="1:13">
      <c r="D15" t="s">
        <v>504</v>
      </c>
      <c r="E15">
        <v>0.155</v>
      </c>
      <c r="J15">
        <v>0.5</v>
      </c>
      <c r="K15">
        <v>0.10299999999999999</v>
      </c>
      <c r="L15">
        <v>0.21099999999999999</v>
      </c>
      <c r="M15">
        <v>0.21099999999999999</v>
      </c>
    </row>
    <row r="16" spans="1:13">
      <c r="D16" t="s">
        <v>505</v>
      </c>
      <c r="E16">
        <v>4.8899999999999999E-2</v>
      </c>
      <c r="J16">
        <v>1</v>
      </c>
      <c r="K16">
        <v>6.7599999999999993E-2</v>
      </c>
      <c r="L16">
        <v>0.152</v>
      </c>
      <c r="M16">
        <v>0.152</v>
      </c>
    </row>
    <row r="17" spans="2:13">
      <c r="D17" t="s">
        <v>506</v>
      </c>
      <c r="E17">
        <v>1.5290322580645161</v>
      </c>
      <c r="J17">
        <v>2</v>
      </c>
      <c r="K17">
        <v>4.8899999999999999E-2</v>
      </c>
      <c r="L17">
        <v>0.106</v>
      </c>
      <c r="M17">
        <v>0.106</v>
      </c>
    </row>
    <row r="18" spans="2:13">
      <c r="D18" t="s">
        <v>507</v>
      </c>
      <c r="E18">
        <v>2.248520710059172</v>
      </c>
      <c r="J18">
        <v>5</v>
      </c>
      <c r="K18" t="s">
        <v>459</v>
      </c>
      <c r="L18">
        <v>5.16E-2</v>
      </c>
      <c r="M18">
        <v>5.16E-2</v>
      </c>
    </row>
    <row r="19" spans="2:13">
      <c r="D19" t="s">
        <v>508</v>
      </c>
      <c r="E19">
        <v>0.23699999999999999</v>
      </c>
      <c r="J19">
        <v>10</v>
      </c>
      <c r="K19" t="s">
        <v>459</v>
      </c>
      <c r="L19">
        <v>2.5999999999999999E-2</v>
      </c>
      <c r="M19">
        <v>2.5999999999999999E-2</v>
      </c>
    </row>
    <row r="20" spans="2:13">
      <c r="D20" t="s">
        <v>509</v>
      </c>
      <c r="E20">
        <v>0.152</v>
      </c>
      <c r="J20" t="s">
        <v>460</v>
      </c>
      <c r="K20" t="s">
        <v>459</v>
      </c>
      <c r="L20">
        <v>9.64E-2</v>
      </c>
      <c r="M20" t="s">
        <v>459</v>
      </c>
    </row>
    <row r="21" spans="2:13">
      <c r="D21" t="s">
        <v>461</v>
      </c>
      <c r="E21" s="162" t="s">
        <v>462</v>
      </c>
      <c r="J21" t="s">
        <v>463</v>
      </c>
      <c r="K21" t="s">
        <v>459</v>
      </c>
      <c r="L21">
        <v>0.17100000000000001</v>
      </c>
      <c r="M21" t="s">
        <v>459</v>
      </c>
    </row>
    <row r="22" spans="2:13">
      <c r="D22" t="s">
        <v>464</v>
      </c>
      <c r="E22">
        <v>4.5930232558139537</v>
      </c>
    </row>
    <row r="23" spans="2:13">
      <c r="D23" t="s">
        <v>510</v>
      </c>
      <c r="E23">
        <v>1.5</v>
      </c>
    </row>
    <row r="24" spans="2:13">
      <c r="D24" t="s">
        <v>465</v>
      </c>
      <c r="E24" t="s">
        <v>466</v>
      </c>
    </row>
    <row r="25" spans="2:13">
      <c r="B25" t="s">
        <v>467</v>
      </c>
    </row>
    <row r="26" spans="2:13">
      <c r="D26" t="s">
        <v>511</v>
      </c>
      <c r="E26">
        <v>1</v>
      </c>
    </row>
    <row r="27" spans="2:13">
      <c r="D27" t="s">
        <v>468</v>
      </c>
      <c r="E27" t="s">
        <v>469</v>
      </c>
    </row>
    <row r="28" spans="2:13">
      <c r="D28" t="s">
        <v>470</v>
      </c>
      <c r="E28" t="s">
        <v>471</v>
      </c>
    </row>
    <row r="29" spans="2:13">
      <c r="D29" t="s">
        <v>472</v>
      </c>
      <c r="E29" t="s">
        <v>473</v>
      </c>
    </row>
    <row r="30" spans="2:13">
      <c r="D30" t="s">
        <v>512</v>
      </c>
      <c r="E30" s="162">
        <v>3</v>
      </c>
    </row>
    <row r="31" spans="2:13">
      <c r="D31" t="s">
        <v>513</v>
      </c>
      <c r="E31" s="162">
        <v>1.7</v>
      </c>
    </row>
    <row r="32" spans="2:13">
      <c r="E32" t="s">
        <v>474</v>
      </c>
      <c r="F32" t="s">
        <v>475</v>
      </c>
    </row>
    <row r="34" spans="2:13">
      <c r="E34" t="s">
        <v>476</v>
      </c>
      <c r="F34" t="s">
        <v>477</v>
      </c>
    </row>
    <row r="37" spans="2:13">
      <c r="E37" t="s">
        <v>478</v>
      </c>
      <c r="F37" t="s">
        <v>479</v>
      </c>
    </row>
    <row r="40" spans="2:13">
      <c r="D40" t="s">
        <v>514</v>
      </c>
      <c r="E40">
        <v>71.250000000000014</v>
      </c>
    </row>
    <row r="41" spans="2:13">
      <c r="D41" t="s">
        <v>480</v>
      </c>
      <c r="E41">
        <v>6</v>
      </c>
    </row>
    <row r="42" spans="2:13">
      <c r="D42" t="s">
        <v>481</v>
      </c>
      <c r="E42">
        <v>6</v>
      </c>
    </row>
    <row r="43" spans="2:13">
      <c r="B43" t="s">
        <v>482</v>
      </c>
    </row>
    <row r="44" spans="2:13">
      <c r="E44">
        <v>1.2261925011491659</v>
      </c>
      <c r="F44" t="s">
        <v>515</v>
      </c>
      <c r="L44">
        <v>1.3673202614379085E-2</v>
      </c>
    </row>
    <row r="45" spans="2:13">
      <c r="D45" t="s">
        <v>516</v>
      </c>
      <c r="E45">
        <v>2.4523850022983318</v>
      </c>
    </row>
    <row r="47" spans="2:13">
      <c r="B47" t="s">
        <v>483</v>
      </c>
    </row>
    <row r="48" spans="2:13">
      <c r="D48" t="s">
        <v>517</v>
      </c>
      <c r="L48">
        <v>2.7763753911203604E-2</v>
      </c>
      <c r="M48" t="s">
        <v>518</v>
      </c>
    </row>
    <row r="51" spans="2:12">
      <c r="D51" t="s">
        <v>519</v>
      </c>
      <c r="E51">
        <v>0.14159514494713837</v>
      </c>
    </row>
    <row r="52" spans="2:12">
      <c r="L52">
        <v>4.1372549019607845E-2</v>
      </c>
    </row>
    <row r="53" spans="2:12">
      <c r="F53" t="s">
        <v>520</v>
      </c>
      <c r="G53">
        <v>1</v>
      </c>
    </row>
    <row r="54" spans="2:12">
      <c r="F54" t="s">
        <v>484</v>
      </c>
      <c r="G54">
        <v>0.96607112482762514</v>
      </c>
    </row>
    <row r="56" spans="2:12">
      <c r="B56" t="s">
        <v>485</v>
      </c>
      <c r="H56" t="s">
        <v>486</v>
      </c>
      <c r="I56">
        <v>0</v>
      </c>
      <c r="J56" t="s">
        <v>487</v>
      </c>
    </row>
    <row r="57" spans="2:12">
      <c r="H57" t="s">
        <v>521</v>
      </c>
      <c r="I57">
        <v>0</v>
      </c>
      <c r="J57" t="s">
        <v>487</v>
      </c>
    </row>
    <row r="59" spans="2:12">
      <c r="B59" t="s">
        <v>488</v>
      </c>
      <c r="C59" t="s">
        <v>489</v>
      </c>
      <c r="D59" t="s">
        <v>490</v>
      </c>
      <c r="E59" t="s">
        <v>491</v>
      </c>
      <c r="F59" t="s">
        <v>492</v>
      </c>
      <c r="G59" t="s">
        <v>493</v>
      </c>
      <c r="H59" t="s">
        <v>494</v>
      </c>
      <c r="I59" t="s">
        <v>522</v>
      </c>
      <c r="J59" t="s">
        <v>523</v>
      </c>
    </row>
    <row r="60" spans="2:12">
      <c r="D60" t="s">
        <v>487</v>
      </c>
      <c r="E60" t="s">
        <v>495</v>
      </c>
      <c r="F60" t="s">
        <v>495</v>
      </c>
      <c r="G60" t="s">
        <v>487</v>
      </c>
      <c r="H60" t="s">
        <v>487</v>
      </c>
      <c r="J60" t="s">
        <v>496</v>
      </c>
    </row>
    <row r="61" spans="2:12">
      <c r="F61">
        <v>0</v>
      </c>
      <c r="G61">
        <v>0</v>
      </c>
    </row>
    <row r="62" spans="2:12">
      <c r="H62">
        <v>0</v>
      </c>
      <c r="I62">
        <v>0</v>
      </c>
      <c r="J62">
        <v>0</v>
      </c>
    </row>
  </sheetData>
  <mergeCells count="5">
    <mergeCell ref="G1:L1"/>
    <mergeCell ref="G2:I2"/>
    <mergeCell ref="K2:L2"/>
    <mergeCell ref="G3:I3"/>
    <mergeCell ref="K3:L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Master_Template</vt:lpstr>
      <vt:lpstr>Rigid_Template</vt:lpstr>
      <vt:lpstr>Template_n</vt:lpstr>
      <vt:lpstr>NS1</vt:lpstr>
      <vt:lpstr>Design_Summary</vt:lpstr>
      <vt:lpstr>Seismic_data</vt:lpstr>
    </vt:vector>
  </TitlesOfParts>
  <Company>Read Jones Christoffersen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 Chowdhury</dc:creator>
  <cp:lastModifiedBy>Arman Chowdhury</cp:lastModifiedBy>
  <dcterms:created xsi:type="dcterms:W3CDTF">2025-04-07T21:15:54Z</dcterms:created>
  <dcterms:modified xsi:type="dcterms:W3CDTF">2025-06-16T22:56:49Z</dcterms:modified>
</cp:coreProperties>
</file>